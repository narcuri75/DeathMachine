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0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thar\Desktop\"/>
    </mc:Choice>
  </mc:AlternateContent>
  <xr:revisionPtr revIDLastSave="0" documentId="13_ncr:1_{4D060CB3-A5DF-48A1-AEC1-195839BCCF20}" xr6:coauthVersionLast="41" xr6:coauthVersionMax="41" xr10:uidLastSave="{00000000-0000-0000-0000-000000000000}"/>
  <workbookProtection workbookAlgorithmName="SHA-512" workbookHashValue="oX0eMQoRN7jiaUfGdjpDssKHmE+CZTe7ilRxR7NyCVmOHAe6J2sM1zD93L9eEXajeW8LQ5cHBCoMPvyTERnIFA==" workbookSaltValue="9e7NtA2y3b+Sy+NqLZL0Fg==" workbookSpinCount="100000" lockStructure="1"/>
  <bookViews>
    <workbookView xWindow="-120" yWindow="-120" windowWidth="29040" windowHeight="15840" activeTab="2" xr2:uid="{3DCCD401-E92E-4872-BF57-1433ECB1186D}"/>
  </bookViews>
  <sheets>
    <sheet name="RATF" sheetId="2" r:id="rId1"/>
    <sheet name="TOOL" sheetId="1" state="hidden" r:id="rId2"/>
    <sheet name="." sheetId="3" r:id="rId3"/>
  </sheets>
  <definedNames>
    <definedName name="color1">TOOL!$R$1:$R$41,TOOL!$A$1:$Q$1,TOOL!$G$2:$G$41,TOOL!$A$41:$Q$41,TOOL!$B$38,TOOL!$B$37,TOOL!$B$35,TOOL!$C$35,TOOL!$B$33:$B$34,TOOL!$C$32,TOOL!$B$32,TOOL!$B$31,TOOL!$A$29:$E$29,TOOL!$B$24,TOOL!$B$19:$B$22,TOOL!$C$19:$E$19,TOOL!$B$11:$E$11,TOOL!$B$12:$B$17,TOOL!$B$8:$B$9,TOOL!$C$8:$E$8,TOOL!$B$5:$E$5,TOOL!$B$6,TOOL!$B$3:$B$4,TOOL!$I$4:$N$4</definedName>
    <definedName name="color2">TOOL!$C$3:$E$4,TOOL!$E$6,TOOL!$E$9,TOOL!$E$12:$E$17,TOOL!$C$20:$D$22,TOOL!$B$25</definedName>
    <definedName name="GREY">TOOL!$O$22:$P$40,TOOL!$M$25:$N$40,TOOL!$I$20:$L$40,TOOL!$Q$2:$Q$40,TOOL!#REF!,TOOL!#REF!,TOOL!#REF!,TOOL!#REF!,TOOL!#REF!,TOOL!#REF!,TOOL!#REF!,TOOL!#REF!,TOOL!#REF!,TOOL!#REF!,TOOL!#REF!,TOOL!#REF!,TOOL!#REF!,TOOL!#REF!,TOOL!#REF!,TOOL!$D$30:$E$30,TOOL!$A$31:$A$40,TOOL!$B$39:$E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" i="2" l="1"/>
  <c r="F2" i="1" l="1"/>
  <c r="B17" i="1"/>
  <c r="B16" i="1"/>
  <c r="B15" i="1"/>
  <c r="B14" i="1"/>
  <c r="B13" i="1"/>
  <c r="B12" i="1"/>
  <c r="A29" i="2"/>
  <c r="A30" i="2"/>
  <c r="A28" i="2"/>
  <c r="B9" i="1" l="1"/>
  <c r="F5" i="1"/>
  <c r="F4" i="1"/>
  <c r="F3" i="1"/>
  <c r="S2" i="1" l="1"/>
  <c r="H15" i="1"/>
  <c r="H19" i="1"/>
  <c r="H18" i="1"/>
  <c r="H17" i="1"/>
  <c r="H16" i="1"/>
  <c r="H14" i="1"/>
  <c r="H13" i="1"/>
  <c r="H12" i="1"/>
  <c r="H11" i="1"/>
  <c r="H10" i="1"/>
  <c r="H9" i="1"/>
  <c r="H8" i="1"/>
  <c r="H7" i="1"/>
  <c r="H6" i="1"/>
  <c r="H5" i="1"/>
  <c r="V11" i="1" l="1"/>
  <c r="S11" i="1" l="1"/>
  <c r="S8" i="1"/>
  <c r="S7" i="1"/>
  <c r="S6" i="1"/>
  <c r="S5" i="1"/>
  <c r="S4" i="1"/>
  <c r="S3" i="1"/>
  <c r="C21" i="1"/>
  <c r="B29" i="2" s="1"/>
  <c r="C22" i="1"/>
  <c r="B30" i="2" s="1"/>
  <c r="C35" i="1" l="1"/>
  <c r="B46" i="2" s="1"/>
  <c r="T11" i="1" l="1"/>
  <c r="U11" i="1" l="1"/>
  <c r="W11" i="1" s="1"/>
  <c r="E21" i="1" s="1"/>
  <c r="D29" i="2" s="1"/>
  <c r="E6" i="1" l="1"/>
  <c r="D21" i="1"/>
  <c r="C29" i="2" l="1"/>
  <c r="T6" i="1"/>
  <c r="U6" i="1" s="1"/>
  <c r="T2" i="1"/>
  <c r="T3" i="1"/>
  <c r="U3" i="1" s="1"/>
  <c r="T4" i="1"/>
  <c r="U4" i="1" s="1"/>
  <c r="T5" i="1"/>
  <c r="U5" i="1" s="1"/>
  <c r="T7" i="1"/>
  <c r="U7" i="1" s="1"/>
  <c r="T8" i="1"/>
  <c r="U8" i="1" s="1"/>
  <c r="V7" i="1" l="1"/>
  <c r="E16" i="1" s="1"/>
  <c r="V5" i="1"/>
  <c r="E14" i="1" s="1"/>
  <c r="V6" i="1"/>
  <c r="E15" i="1" s="1"/>
  <c r="V8" i="1"/>
  <c r="E17" i="1" s="1"/>
  <c r="V3" i="1"/>
  <c r="E12" i="1" s="1"/>
  <c r="V4" i="1"/>
  <c r="E13" i="1" s="1"/>
  <c r="C20" i="1"/>
  <c r="B28" i="2" s="1"/>
  <c r="U2" i="1"/>
  <c r="E9" i="1"/>
  <c r="V2" i="1"/>
  <c r="U9" i="1" l="1"/>
  <c r="V9" i="1"/>
  <c r="V16" i="1" l="1"/>
  <c r="E20" i="1" s="1"/>
  <c r="D20" i="1"/>
  <c r="D28" i="2" l="1"/>
  <c r="C28" i="2"/>
  <c r="D22" i="1"/>
  <c r="C30" i="2" s="1"/>
  <c r="E22" i="1" l="1"/>
  <c r="B25" i="1" s="1"/>
  <c r="D30" i="2" l="1"/>
</calcChain>
</file>

<file path=xl/sharedStrings.xml><?xml version="1.0" encoding="utf-8"?>
<sst xmlns="http://schemas.openxmlformats.org/spreadsheetml/2006/main" count="123" uniqueCount="83">
  <si>
    <t>VSP Allowance</t>
  </si>
  <si>
    <t>Frame</t>
  </si>
  <si>
    <t>Reimbursement</t>
  </si>
  <si>
    <t>Lenses</t>
  </si>
  <si>
    <t>Order #</t>
  </si>
  <si>
    <t>Discounts</t>
  </si>
  <si>
    <t>CODE</t>
  </si>
  <si>
    <t>MEANING</t>
  </si>
  <si>
    <t>AD</t>
  </si>
  <si>
    <t>Polycarbonate</t>
  </si>
  <si>
    <t>AB</t>
  </si>
  <si>
    <t>High Index Plastic 1.53-1.60/Trivex</t>
  </si>
  <si>
    <t>80% U&amp;C</t>
  </si>
  <si>
    <t>AH</t>
  </si>
  <si>
    <t>High Index Plastic 1.66/1.67</t>
  </si>
  <si>
    <t>BV</t>
  </si>
  <si>
    <t>UV Protection - Backside</t>
  </si>
  <si>
    <t>PP</t>
  </si>
  <si>
    <t>Photochromic</t>
  </si>
  <si>
    <t>QN</t>
  </si>
  <si>
    <t>Anti Reflective coating B</t>
  </si>
  <si>
    <t>QV</t>
  </si>
  <si>
    <t>Anti Reflective coating D</t>
  </si>
  <si>
    <t>DA</t>
  </si>
  <si>
    <t>Polarized</t>
  </si>
  <si>
    <t>DD</t>
  </si>
  <si>
    <t>DH</t>
  </si>
  <si>
    <t>- -</t>
  </si>
  <si>
    <t>KA</t>
  </si>
  <si>
    <t>Progressive Standard</t>
  </si>
  <si>
    <t>KD</t>
  </si>
  <si>
    <t>KB</t>
  </si>
  <si>
    <t>KH</t>
  </si>
  <si>
    <t>KP</t>
  </si>
  <si>
    <t>No discount on U&amp;C</t>
  </si>
  <si>
    <t>LE Chart or 80% of U&amp;C, whichever is less.</t>
  </si>
  <si>
    <t>Cost</t>
  </si>
  <si>
    <t>Copay</t>
  </si>
  <si>
    <t>Claim paid</t>
  </si>
  <si>
    <t>Reimburse</t>
  </si>
  <si>
    <t>Lens Enhancement Chart</t>
  </si>
  <si>
    <t>◄ Fact Check</t>
  </si>
  <si>
    <t>Totals&gt;</t>
  </si>
  <si>
    <t>Choice</t>
  </si>
  <si>
    <t>Signature</t>
  </si>
  <si>
    <t>Allow</t>
  </si>
  <si>
    <t>OOP</t>
  </si>
  <si>
    <t>----&gt;</t>
  </si>
  <si>
    <t>OON Claim already submitted?</t>
  </si>
  <si>
    <t>Refund</t>
  </si>
  <si>
    <t>Price Match refund already made?</t>
  </si>
  <si>
    <t>If "80% of U&amp;C" applies, enter the cost in the copay cell as well.</t>
  </si>
  <si>
    <t>▼ Lens Sum</t>
  </si>
  <si>
    <t>Original Unit Price</t>
  </si>
  <si>
    <t>VSP Plan Type</t>
  </si>
  <si>
    <t>Total</t>
  </si>
  <si>
    <t>**Yellow boxes do complicated maths**</t>
  </si>
  <si>
    <t>Glasses - Reimbursement After the Fact</t>
  </si>
  <si>
    <t>With Benefits</t>
  </si>
  <si>
    <t>Single Vision</t>
  </si>
  <si>
    <t>Progressive</t>
  </si>
  <si>
    <t>Retail Cost</t>
  </si>
  <si>
    <t>Nathan Arcuri</t>
  </si>
  <si>
    <t>Updated: 8/5/19</t>
  </si>
  <si>
    <t>VSP Material Copay</t>
  </si>
  <si>
    <t>LE Chart Copay</t>
  </si>
  <si>
    <t>CHOICE</t>
  </si>
  <si>
    <t>SIGNATURE</t>
  </si>
  <si>
    <t>ORIGINAL UNIT PRICE</t>
  </si>
  <si>
    <t>VSP MATERIAL COPAY</t>
  </si>
  <si>
    <t>LENS ENHANCEMENTS</t>
  </si>
  <si>
    <t>BASE LENS</t>
  </si>
  <si>
    <t>FRAME</t>
  </si>
  <si>
    <t>VSP PLAN TYPE</t>
  </si>
  <si>
    <t>VSP ALLOWANCE</t>
  </si>
  <si>
    <t>LE CHART</t>
  </si>
  <si>
    <t>ORDER NUMBER</t>
  </si>
  <si>
    <t>ORDER DISCOUNTS</t>
  </si>
  <si>
    <t>LE COPAY</t>
  </si>
  <si>
    <t>PLEASE DO NOT OPEN THIS DOCUMENT IN THE BROWSER. DOWNLOAD THE DOCUMENT OR USE THE LINK PROVIDED BY NATHAN ARCURI IN THE EMAIL.</t>
  </si>
  <si>
    <t>REIMBURSEMENT AFTER THE FACT  -  FRAMES</t>
  </si>
  <si>
    <t>CLAIM ALREADY SUBMITTED?</t>
  </si>
  <si>
    <t>PRICE MATCH REFUND?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</si>
</sst>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10"/>
      <color theme="0" tint="-0.249977111117893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6"/>
      <color theme="2" tint="-0.499984740745262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rgb="FF000000"/>
      <name val="Arial"/>
      <family val="2"/>
    </font>
    <font>
      <b/>
      <sz val="18"/>
      <color rgb="FF0070C0"/>
      <name val="Calibri"/>
      <family val="2"/>
      <scheme val="minor"/>
    </font>
    <font>
      <sz val="8"/>
      <color theme="2" tint="-9.9978637043366805E-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3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 style="mediumDashed">
        <color indexed="64"/>
      </left>
      <right style="mediumDashed">
        <color indexed="64"/>
      </right>
      <top/>
      <bottom style="mediumDashed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/>
      <bottom/>
      <diagonal/>
    </border>
    <border>
      <left/>
      <right style="medium">
        <color rgb="FF0070C0"/>
      </right>
      <top/>
      <bottom/>
      <diagonal/>
    </border>
    <border>
      <left style="medium">
        <color rgb="FF0070C0"/>
      </left>
      <right/>
      <top/>
      <bottom style="medium">
        <color rgb="FF0070C0"/>
      </bottom>
      <diagonal/>
    </border>
    <border>
      <left/>
      <right/>
      <top/>
      <bottom style="medium">
        <color rgb="FF0070C0"/>
      </bottom>
      <diagonal/>
    </border>
    <border>
      <left/>
      <right style="medium">
        <color rgb="FF0070C0"/>
      </right>
      <top/>
      <bottom style="medium">
        <color rgb="FF0070C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Font="1" applyFill="1" applyBorder="1"/>
    <xf numFmtId="0" fontId="0" fillId="0" borderId="0" xfId="0" applyNumberFormat="1" applyFont="1" applyFill="1" applyBorder="1"/>
    <xf numFmtId="0" fontId="5" fillId="2" borderId="2" xfId="0" applyNumberFormat="1" applyFont="1" applyFill="1" applyBorder="1" applyAlignment="1" applyProtection="1">
      <alignment vertical="top"/>
      <protection locked="0"/>
    </xf>
    <xf numFmtId="0" fontId="6" fillId="5" borderId="0" xfId="0" applyNumberFormat="1" applyFont="1" applyFill="1" applyBorder="1" applyAlignment="1" applyProtection="1">
      <alignment vertical="top" wrapText="1"/>
      <protection locked="0"/>
    </xf>
    <xf numFmtId="0" fontId="5" fillId="5" borderId="11" xfId="0" applyNumberFormat="1" applyFont="1" applyFill="1" applyBorder="1" applyAlignment="1" applyProtection="1">
      <alignment vertical="top" wrapText="1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17" fillId="7" borderId="8" xfId="0" applyFont="1" applyFill="1" applyBorder="1" applyAlignment="1" applyProtection="1">
      <alignment vertical="top"/>
      <protection locked="0"/>
    </xf>
    <xf numFmtId="0" fontId="18" fillId="8" borderId="0" xfId="0" applyFont="1" applyFill="1" applyBorder="1" applyProtection="1">
      <protection locked="0"/>
    </xf>
    <xf numFmtId="0" fontId="2" fillId="8" borderId="0" xfId="0" applyFont="1" applyFill="1" applyBorder="1" applyAlignment="1" applyProtection="1">
      <alignment vertical="top"/>
      <protection locked="0"/>
    </xf>
    <xf numFmtId="0" fontId="23" fillId="0" borderId="0" xfId="0" applyFont="1" applyAlignment="1" applyProtection="1">
      <alignment vertical="center" wrapText="1"/>
      <protection locked="0"/>
    </xf>
    <xf numFmtId="0" fontId="0" fillId="5" borderId="0" xfId="0" applyFont="1" applyFill="1" applyBorder="1" applyAlignment="1" applyProtection="1">
      <alignment vertical="top"/>
      <protection locked="0"/>
    </xf>
    <xf numFmtId="0" fontId="20" fillId="7" borderId="0" xfId="0" applyFont="1" applyFill="1" applyBorder="1" applyAlignment="1" applyProtection="1">
      <alignment horizontal="center" vertical="top"/>
      <protection locked="0"/>
    </xf>
    <xf numFmtId="0" fontId="2" fillId="7" borderId="0" xfId="0" applyFont="1" applyFill="1" applyBorder="1" applyAlignment="1" applyProtection="1">
      <alignment vertical="top"/>
      <protection locked="0"/>
    </xf>
    <xf numFmtId="0" fontId="0" fillId="7" borderId="0" xfId="0" applyFont="1" applyFill="1" applyBorder="1" applyProtection="1">
      <protection locked="0"/>
    </xf>
    <xf numFmtId="0" fontId="18" fillId="7" borderId="0" xfId="0" applyFont="1" applyFill="1" applyBorder="1" applyProtection="1">
      <protection locked="0"/>
    </xf>
    <xf numFmtId="0" fontId="20" fillId="4" borderId="0" xfId="0" applyFont="1" applyFill="1" applyBorder="1" applyProtection="1">
      <protection locked="0"/>
    </xf>
    <xf numFmtId="0" fontId="19" fillId="4" borderId="0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2" fillId="5" borderId="0" xfId="0" applyFont="1" applyFill="1" applyBorder="1" applyAlignment="1" applyProtection="1">
      <alignment horizontal="center" vertical="center"/>
      <protection locked="0"/>
    </xf>
    <xf numFmtId="0" fontId="18" fillId="7" borderId="0" xfId="0" applyFont="1" applyFill="1" applyBorder="1" applyAlignment="1" applyProtection="1">
      <alignment horizontal="center" vertical="top"/>
      <protection locked="0"/>
    </xf>
    <xf numFmtId="0" fontId="6" fillId="5" borderId="0" xfId="0" applyFont="1" applyFill="1" applyBorder="1" applyAlignment="1" applyProtection="1">
      <alignment vertical="center" wrapText="1"/>
      <protection locked="0"/>
    </xf>
    <xf numFmtId="0" fontId="7" fillId="5" borderId="0" xfId="0" applyFont="1" applyFill="1" applyBorder="1" applyAlignment="1" applyProtection="1">
      <alignment horizontal="center" vertical="center"/>
      <protection locked="0"/>
    </xf>
    <xf numFmtId="0" fontId="0" fillId="5" borderId="0" xfId="0" applyFont="1" applyFill="1" applyBorder="1" applyProtection="1">
      <protection locked="0"/>
    </xf>
    <xf numFmtId="0" fontId="17" fillId="7" borderId="0" xfId="0" applyFont="1" applyFill="1" applyBorder="1" applyProtection="1">
      <protection locked="0"/>
    </xf>
    <xf numFmtId="0" fontId="17" fillId="7" borderId="1" xfId="0" applyFont="1" applyFill="1" applyBorder="1" applyProtection="1">
      <protection locked="0"/>
    </xf>
    <xf numFmtId="0" fontId="17" fillId="7" borderId="1" xfId="0" applyFont="1" applyFill="1" applyBorder="1" applyAlignment="1" applyProtection="1">
      <alignment horizontal="center"/>
      <protection locked="0"/>
    </xf>
    <xf numFmtId="0" fontId="2" fillId="5" borderId="0" xfId="0" applyFont="1" applyFill="1" applyBorder="1" applyAlignment="1" applyProtection="1">
      <alignment horizontal="center"/>
      <protection locked="0"/>
    </xf>
    <xf numFmtId="0" fontId="0" fillId="7" borderId="0" xfId="0" applyFont="1" applyFill="1" applyBorder="1" applyAlignment="1" applyProtection="1">
      <alignment vertical="top"/>
      <protection locked="0"/>
    </xf>
    <xf numFmtId="0" fontId="17" fillId="7" borderId="0" xfId="0" applyFont="1" applyFill="1" applyBorder="1" applyAlignment="1" applyProtection="1">
      <alignment horizontal="center" vertical="center"/>
      <protection locked="0"/>
    </xf>
    <xf numFmtId="0" fontId="2" fillId="7" borderId="0" xfId="0" applyFont="1" applyFill="1" applyBorder="1" applyAlignment="1" applyProtection="1">
      <alignment horizontal="center" vertical="center"/>
      <protection locked="0"/>
    </xf>
    <xf numFmtId="0" fontId="25" fillId="5" borderId="0" xfId="0" applyFont="1" applyFill="1" applyBorder="1" applyAlignment="1" applyProtection="1">
      <alignment vertical="center" wrapText="1"/>
      <protection locked="0"/>
    </xf>
    <xf numFmtId="0" fontId="2" fillId="8" borderId="1" xfId="0" applyFont="1" applyFill="1" applyBorder="1" applyAlignment="1" applyProtection="1">
      <alignment horizontal="center" vertical="top"/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0" fontId="0" fillId="5" borderId="0" xfId="0" applyFont="1" applyFill="1" applyBorder="1" applyAlignment="1" applyProtection="1">
      <alignment horizontal="center"/>
      <protection locked="0"/>
    </xf>
    <xf numFmtId="0" fontId="19" fillId="4" borderId="0" xfId="0" quotePrefix="1" applyFont="1" applyFill="1" applyBorder="1" applyAlignment="1" applyProtection="1">
      <alignment horizontal="right"/>
      <protection locked="0"/>
    </xf>
    <xf numFmtId="0" fontId="19" fillId="4" borderId="0" xfId="0" applyFont="1" applyFill="1" applyBorder="1" applyAlignment="1" applyProtection="1">
      <alignment horizontal="right"/>
      <protection locked="0"/>
    </xf>
    <xf numFmtId="0" fontId="16" fillId="7" borderId="0" xfId="0" applyFont="1" applyFill="1" applyBorder="1" applyAlignment="1" applyProtection="1">
      <alignment vertical="top"/>
      <protection locked="0"/>
    </xf>
    <xf numFmtId="44" fontId="19" fillId="4" borderId="0" xfId="0" applyNumberFormat="1" applyFont="1" applyFill="1" applyBorder="1" applyProtection="1">
      <protection locked="0"/>
    </xf>
    <xf numFmtId="0" fontId="0" fillId="8" borderId="1" xfId="0" quotePrefix="1" applyFont="1" applyFill="1" applyBorder="1" applyAlignment="1" applyProtection="1">
      <alignment horizontal="center"/>
      <protection locked="0"/>
    </xf>
    <xf numFmtId="0" fontId="0" fillId="5" borderId="0" xfId="0" quotePrefix="1" applyFont="1" applyFill="1" applyBorder="1" applyAlignment="1" applyProtection="1">
      <alignment horizontal="center"/>
      <protection locked="0"/>
    </xf>
    <xf numFmtId="0" fontId="19" fillId="4" borderId="0" xfId="0" applyNumberFormat="1" applyFont="1" applyFill="1" applyBorder="1" applyProtection="1">
      <protection locked="0"/>
    </xf>
    <xf numFmtId="0" fontId="19" fillId="4" borderId="0" xfId="0" applyFont="1" applyFill="1" applyBorder="1" applyAlignment="1" applyProtection="1">
      <alignment horizontal="right" vertical="top"/>
      <protection locked="0"/>
    </xf>
    <xf numFmtId="0" fontId="20" fillId="4" borderId="0" xfId="0" applyFont="1" applyFill="1" applyBorder="1" applyAlignment="1" applyProtection="1">
      <alignment horizontal="center" vertical="center" wrapText="1"/>
      <protection locked="0"/>
    </xf>
    <xf numFmtId="44" fontId="0" fillId="8" borderId="0" xfId="1" applyFont="1" applyFill="1" applyBorder="1" applyAlignment="1" applyProtection="1">
      <alignment vertical="top"/>
      <protection locked="0"/>
    </xf>
    <xf numFmtId="44" fontId="20" fillId="4" borderId="0" xfId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left" vertical="center"/>
      <protection locked="0"/>
    </xf>
    <xf numFmtId="0" fontId="10" fillId="5" borderId="0" xfId="0" applyFont="1" applyFill="1" applyBorder="1" applyAlignment="1" applyProtection="1">
      <alignment horizontal="center" vertical="center" wrapText="1"/>
      <protection locked="0"/>
    </xf>
    <xf numFmtId="0" fontId="0" fillId="5" borderId="14" xfId="0" applyFont="1" applyFill="1" applyBorder="1" applyAlignment="1" applyProtection="1">
      <alignment vertical="top"/>
      <protection locked="0"/>
    </xf>
    <xf numFmtId="44" fontId="0" fillId="5" borderId="0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ont="1" applyFill="1" applyBorder="1" applyAlignment="1" applyProtection="1">
      <alignment vertical="center" wrapText="1"/>
      <protection locked="0"/>
    </xf>
    <xf numFmtId="0" fontId="0" fillId="5" borderId="0" xfId="0" applyFont="1" applyFill="1" applyBorder="1" applyAlignment="1" applyProtection="1">
      <alignment wrapText="1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19" fillId="4" borderId="0" xfId="0" applyFont="1" applyFill="1" applyBorder="1" applyAlignment="1" applyProtection="1">
      <alignment vertical="top"/>
      <protection locked="0"/>
    </xf>
    <xf numFmtId="0" fontId="0" fillId="5" borderId="0" xfId="0" applyFont="1" applyFill="1" applyBorder="1" applyAlignment="1" applyProtection="1">
      <alignment vertical="top" wrapText="1"/>
      <protection locked="0"/>
    </xf>
    <xf numFmtId="0" fontId="9" fillId="5" borderId="0" xfId="0" applyFont="1" applyFill="1" applyBorder="1" applyAlignment="1" applyProtection="1">
      <alignment vertical="top"/>
      <protection locked="0"/>
    </xf>
    <xf numFmtId="0" fontId="22" fillId="5" borderId="0" xfId="0" applyFont="1" applyFill="1" applyBorder="1" applyAlignment="1" applyProtection="1">
      <alignment horizontal="center" vertical="center"/>
      <protection locked="0"/>
    </xf>
    <xf numFmtId="0" fontId="4" fillId="5" borderId="0" xfId="0" applyFont="1" applyFill="1" applyBorder="1" applyAlignment="1" applyProtection="1">
      <alignment vertical="top" wrapText="1"/>
      <protection locked="0"/>
    </xf>
    <xf numFmtId="0" fontId="18" fillId="7" borderId="0" xfId="0" applyFont="1" applyFill="1" applyBorder="1" applyAlignment="1" applyProtection="1">
      <alignment vertical="top"/>
      <protection locked="0"/>
    </xf>
    <xf numFmtId="0" fontId="0" fillId="5" borderId="0" xfId="0" applyNumberFormat="1" applyFont="1" applyFill="1" applyBorder="1" applyProtection="1">
      <protection locked="0"/>
    </xf>
    <xf numFmtId="0" fontId="4" fillId="5" borderId="0" xfId="0" applyFont="1" applyFill="1" applyBorder="1" applyAlignment="1" applyProtection="1">
      <alignment horizontal="left" vertical="center" wrapText="1"/>
      <protection locked="0"/>
    </xf>
    <xf numFmtId="0" fontId="14" fillId="5" borderId="0" xfId="0" applyNumberFormat="1" applyFont="1" applyFill="1" applyBorder="1" applyProtection="1">
      <protection locked="0"/>
    </xf>
    <xf numFmtId="0" fontId="17" fillId="7" borderId="0" xfId="0" applyNumberFormat="1" applyFont="1" applyFill="1" applyBorder="1" applyProtection="1">
      <protection locked="0"/>
    </xf>
    <xf numFmtId="0" fontId="17" fillId="7" borderId="0" xfId="0" applyNumberFormat="1" applyFont="1" applyFill="1" applyBorder="1" applyAlignment="1" applyProtection="1">
      <alignment horizontal="center" vertical="center"/>
      <protection locked="0"/>
    </xf>
    <xf numFmtId="0" fontId="11" fillId="5" borderId="0" xfId="0" applyNumberFormat="1" applyFont="1" applyFill="1" applyBorder="1" applyAlignment="1" applyProtection="1">
      <alignment horizontal="center" vertical="center"/>
      <protection locked="0"/>
    </xf>
    <xf numFmtId="0" fontId="17" fillId="7" borderId="0" xfId="0" applyNumberFormat="1" applyFont="1" applyFill="1" applyBorder="1" applyAlignment="1" applyProtection="1">
      <alignment horizontal="left" vertical="center"/>
      <protection locked="0"/>
    </xf>
    <xf numFmtId="44" fontId="11" fillId="5" borderId="0" xfId="1" applyFont="1" applyFill="1" applyBorder="1" applyProtection="1">
      <protection locked="0"/>
    </xf>
    <xf numFmtId="0" fontId="8" fillId="5" borderId="0" xfId="0" applyFont="1" applyFill="1" applyBorder="1" applyProtection="1">
      <protection locked="0"/>
    </xf>
    <xf numFmtId="44" fontId="17" fillId="7" borderId="0" xfId="0" applyNumberFormat="1" applyFont="1" applyFill="1" applyBorder="1" applyProtection="1">
      <protection locked="0"/>
    </xf>
    <xf numFmtId="44" fontId="13" fillId="5" borderId="0" xfId="0" applyNumberFormat="1" applyFont="1" applyFill="1" applyBorder="1" applyProtection="1">
      <protection locked="0"/>
    </xf>
    <xf numFmtId="0" fontId="19" fillId="4" borderId="0" xfId="0" quotePrefix="1" applyFont="1" applyFill="1" applyBorder="1" applyProtection="1">
      <protection locked="0"/>
    </xf>
    <xf numFmtId="0" fontId="17" fillId="5" borderId="0" xfId="0" applyFont="1" applyFill="1" applyBorder="1" applyProtection="1">
      <protection locked="0"/>
    </xf>
    <xf numFmtId="44" fontId="17" fillId="5" borderId="0" xfId="0" applyNumberFormat="1" applyFont="1" applyFill="1" applyBorder="1" applyProtection="1">
      <protection locked="0"/>
    </xf>
    <xf numFmtId="0" fontId="14" fillId="5" borderId="0" xfId="0" applyNumberFormat="1" applyFont="1" applyFill="1" applyBorder="1" applyAlignment="1" applyProtection="1">
      <alignment horizontal="left"/>
      <protection locked="0"/>
    </xf>
    <xf numFmtId="0" fontId="17" fillId="7" borderId="0" xfId="0" applyNumberFormat="1" applyFont="1" applyFill="1" applyBorder="1" applyAlignment="1" applyProtection="1">
      <alignment vertical="center"/>
      <protection locked="0"/>
    </xf>
    <xf numFmtId="0" fontId="11" fillId="5" borderId="0" xfId="0" applyNumberFormat="1" applyFont="1" applyFill="1" applyBorder="1" applyProtection="1">
      <protection locked="0"/>
    </xf>
    <xf numFmtId="0" fontId="15" fillId="5" borderId="0" xfId="0" applyNumberFormat="1" applyFont="1" applyFill="1" applyBorder="1" applyProtection="1">
      <protection locked="0"/>
    </xf>
    <xf numFmtId="0" fontId="11" fillId="5" borderId="0" xfId="0" applyNumberFormat="1" applyFont="1" applyFill="1" applyBorder="1" applyAlignment="1" applyProtection="1">
      <alignment vertical="center"/>
      <protection locked="0"/>
    </xf>
    <xf numFmtId="44" fontId="11" fillId="5" borderId="0" xfId="0" applyNumberFormat="1" applyFont="1" applyFill="1" applyBorder="1" applyProtection="1">
      <protection locked="0"/>
    </xf>
    <xf numFmtId="0" fontId="11" fillId="5" borderId="0" xfId="0" applyFont="1" applyFill="1" applyBorder="1" applyProtection="1">
      <protection locked="0"/>
    </xf>
    <xf numFmtId="0" fontId="0" fillId="7" borderId="0" xfId="0" applyNumberFormat="1" applyFont="1" applyFill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5" borderId="0" xfId="0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Border="1" applyAlignment="1" applyProtection="1">
      <alignment horizontal="center" vertical="center"/>
      <protection locked="0"/>
    </xf>
    <xf numFmtId="0" fontId="18" fillId="5" borderId="0" xfId="0" applyFont="1" applyFill="1" applyBorder="1" applyAlignment="1" applyProtection="1">
      <alignment horizontal="center" vertical="center"/>
      <protection locked="0"/>
    </xf>
    <xf numFmtId="0" fontId="0" fillId="8" borderId="0" xfId="0" applyNumberFormat="1" applyFont="1" applyFill="1" applyBorder="1" applyAlignment="1" applyProtection="1">
      <alignment horizontal="center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44" fontId="3" fillId="4" borderId="0" xfId="1" applyFont="1" applyFill="1" applyBorder="1" applyAlignment="1" applyProtection="1">
      <alignment horizontal="center" vertical="center"/>
      <protection locked="0"/>
    </xf>
    <xf numFmtId="44" fontId="0" fillId="8" borderId="1" xfId="1" applyFont="1" applyFill="1" applyBorder="1" applyAlignment="1" applyProtection="1">
      <alignment horizontal="center"/>
      <protection locked="0"/>
    </xf>
    <xf numFmtId="44" fontId="0" fillId="8" borderId="1" xfId="1" quotePrefix="1" applyFont="1" applyFill="1" applyBorder="1" applyAlignment="1" applyProtection="1">
      <alignment horizontal="center"/>
      <protection locked="0"/>
    </xf>
    <xf numFmtId="0" fontId="17" fillId="0" borderId="0" xfId="0" applyFont="1" applyFill="1" applyBorder="1" applyProtection="1">
      <protection locked="0"/>
    </xf>
    <xf numFmtId="44" fontId="17" fillId="0" borderId="0" xfId="0" applyNumberFormat="1" applyFont="1" applyFill="1" applyBorder="1" applyProtection="1">
      <protection locked="0"/>
    </xf>
    <xf numFmtId="0" fontId="17" fillId="10" borderId="0" xfId="0" applyNumberFormat="1" applyFont="1" applyFill="1" applyBorder="1" applyProtection="1">
      <protection locked="0"/>
    </xf>
    <xf numFmtId="0" fontId="33" fillId="10" borderId="1" xfId="0" applyFont="1" applyFill="1" applyBorder="1" applyProtection="1">
      <protection locked="0"/>
    </xf>
    <xf numFmtId="0" fontId="38" fillId="0" borderId="0" xfId="2"/>
    <xf numFmtId="0" fontId="0" fillId="0" borderId="0" xfId="0" applyProtection="1"/>
    <xf numFmtId="0" fontId="32" fillId="14" borderId="1" xfId="0" applyFont="1" applyFill="1" applyBorder="1" applyProtection="1"/>
    <xf numFmtId="0" fontId="27" fillId="14" borderId="1" xfId="0" applyFont="1" applyFill="1" applyBorder="1" applyAlignment="1" applyProtection="1">
      <alignment horizontal="left" vertical="center"/>
    </xf>
    <xf numFmtId="0" fontId="34" fillId="11" borderId="1" xfId="0" applyFont="1" applyFill="1" applyBorder="1" applyAlignment="1" applyProtection="1">
      <alignment horizontal="center" vertical="center"/>
    </xf>
    <xf numFmtId="0" fontId="17" fillId="10" borderId="31" xfId="0" applyFont="1" applyFill="1" applyBorder="1" applyProtection="1"/>
    <xf numFmtId="0" fontId="3" fillId="0" borderId="0" xfId="0" applyFont="1" applyFill="1" applyBorder="1" applyAlignment="1" applyProtection="1">
      <alignment horizontal="center" vertical="center"/>
    </xf>
    <xf numFmtId="0" fontId="2" fillId="9" borderId="0" xfId="0" applyFont="1" applyFill="1" applyBorder="1" applyAlignment="1" applyProtection="1">
      <alignment vertical="top"/>
    </xf>
    <xf numFmtId="0" fontId="33" fillId="13" borderId="1" xfId="0" applyFont="1" applyFill="1" applyBorder="1" applyAlignment="1" applyProtection="1">
      <alignment horizontal="center" vertical="center"/>
    </xf>
    <xf numFmtId="0" fontId="17" fillId="9" borderId="0" xfId="0" applyFont="1" applyFill="1" applyBorder="1" applyProtection="1"/>
    <xf numFmtId="0" fontId="33" fillId="13" borderId="1" xfId="0" applyFont="1" applyFill="1" applyBorder="1" applyProtection="1"/>
    <xf numFmtId="44" fontId="33" fillId="13" borderId="1" xfId="1" applyFont="1" applyFill="1" applyBorder="1" applyProtection="1"/>
    <xf numFmtId="44" fontId="18" fillId="9" borderId="0" xfId="1" applyFont="1" applyFill="1" applyProtection="1"/>
    <xf numFmtId="0" fontId="0" fillId="9" borderId="0" xfId="0" applyFill="1" applyProtection="1"/>
    <xf numFmtId="0" fontId="2" fillId="9" borderId="0" xfId="0" applyFont="1" applyFill="1" applyProtection="1"/>
    <xf numFmtId="0" fontId="0" fillId="14" borderId="24" xfId="0" applyFill="1" applyBorder="1" applyProtection="1"/>
    <xf numFmtId="0" fontId="0" fillId="14" borderId="25" xfId="0" applyFill="1" applyBorder="1" applyProtection="1"/>
    <xf numFmtId="0" fontId="0" fillId="14" borderId="28" xfId="0" applyFill="1" applyBorder="1" applyProtection="1"/>
    <xf numFmtId="0" fontId="0" fillId="14" borderId="29" xfId="0" applyFill="1" applyBorder="1" applyProtection="1"/>
    <xf numFmtId="0" fontId="17" fillId="10" borderId="30" xfId="0" applyFont="1" applyFill="1" applyBorder="1" applyProtection="1">
      <protection locked="0"/>
    </xf>
    <xf numFmtId="8" fontId="5" fillId="2" borderId="2" xfId="0" applyNumberFormat="1" applyFont="1" applyFill="1" applyBorder="1" applyAlignment="1" applyProtection="1">
      <alignment vertical="top"/>
      <protection locked="0"/>
    </xf>
    <xf numFmtId="8" fontId="0" fillId="0" borderId="2" xfId="1" applyNumberFormat="1" applyFont="1" applyFill="1" applyBorder="1" applyAlignment="1" applyProtection="1">
      <alignment horizontal="center" vertical="center"/>
      <protection locked="0"/>
    </xf>
    <xf numFmtId="8" fontId="0" fillId="0" borderId="2" xfId="1" applyNumberFormat="1" applyFont="1" applyFill="1" applyBorder="1" applyProtection="1">
      <protection locked="0"/>
    </xf>
    <xf numFmtId="44" fontId="17" fillId="10" borderId="1" xfId="1" applyFont="1" applyFill="1" applyBorder="1" applyAlignment="1" applyProtection="1">
      <alignment horizontal="center" vertical="center"/>
      <protection locked="0"/>
    </xf>
    <xf numFmtId="0" fontId="17" fillId="10" borderId="1" xfId="0" applyNumberFormat="1" applyFont="1" applyFill="1" applyBorder="1" applyAlignment="1" applyProtection="1">
      <alignment horizontal="center" vertical="center"/>
      <protection locked="0"/>
    </xf>
    <xf numFmtId="44" fontId="35" fillId="10" borderId="1" xfId="1" applyFont="1" applyFill="1" applyBorder="1" applyProtection="1">
      <protection locked="0"/>
    </xf>
    <xf numFmtId="0" fontId="33" fillId="10" borderId="1" xfId="0" applyNumberFormat="1" applyFont="1" applyFill="1" applyBorder="1" applyAlignment="1" applyProtection="1">
      <alignment vertical="center"/>
      <protection locked="0"/>
    </xf>
    <xf numFmtId="0" fontId="17" fillId="14" borderId="26" xfId="0" applyNumberFormat="1" applyFont="1" applyFill="1" applyBorder="1" applyAlignment="1" applyProtection="1">
      <alignment horizontal="left" vertical="center"/>
    </xf>
    <xf numFmtId="0" fontId="17" fillId="14" borderId="0" xfId="0" applyNumberFormat="1" applyFont="1" applyFill="1" applyBorder="1" applyAlignment="1" applyProtection="1">
      <alignment horizontal="left" vertical="center"/>
    </xf>
    <xf numFmtId="0" fontId="17" fillId="14" borderId="27" xfId="0" applyNumberFormat="1" applyFont="1" applyFill="1" applyBorder="1" applyAlignment="1" applyProtection="1">
      <alignment horizontal="left" vertical="center"/>
    </xf>
    <xf numFmtId="0" fontId="17" fillId="14" borderId="28" xfId="0" applyNumberFormat="1" applyFont="1" applyFill="1" applyBorder="1" applyAlignment="1" applyProtection="1">
      <alignment horizontal="left" vertical="center"/>
    </xf>
    <xf numFmtId="0" fontId="17" fillId="10" borderId="1" xfId="0" applyNumberFormat="1" applyFont="1" applyFill="1" applyBorder="1" applyAlignment="1" applyProtection="1">
      <alignment horizontal="left" vertical="center"/>
      <protection locked="0"/>
    </xf>
    <xf numFmtId="44" fontId="33" fillId="10" borderId="1" xfId="0" applyNumberFormat="1" applyFont="1" applyFill="1" applyBorder="1" applyProtection="1">
      <protection locked="0"/>
    </xf>
    <xf numFmtId="44" fontId="17" fillId="10" borderId="1" xfId="1" applyFont="1" applyFill="1" applyBorder="1" applyProtection="1">
      <protection locked="0"/>
    </xf>
    <xf numFmtId="0" fontId="34" fillId="11" borderId="1" xfId="0" applyFont="1" applyFill="1" applyBorder="1" applyAlignment="1" applyProtection="1">
      <alignment horizontal="center" vertical="center"/>
      <protection locked="0"/>
    </xf>
    <xf numFmtId="0" fontId="18" fillId="14" borderId="23" xfId="0" applyFont="1" applyFill="1" applyBorder="1" applyAlignment="1" applyProtection="1">
      <alignment horizontal="left" vertical="center"/>
    </xf>
    <xf numFmtId="0" fontId="18" fillId="14" borderId="24" xfId="0" applyFont="1" applyFill="1" applyBorder="1" applyAlignment="1" applyProtection="1">
      <alignment horizontal="left" vertical="center"/>
    </xf>
    <xf numFmtId="0" fontId="18" fillId="14" borderId="27" xfId="0" applyFont="1" applyFill="1" applyBorder="1" applyAlignment="1" applyProtection="1">
      <alignment horizontal="left" vertical="center"/>
    </xf>
    <xf numFmtId="0" fontId="18" fillId="14" borderId="28" xfId="0" applyFont="1" applyFill="1" applyBorder="1" applyAlignment="1" applyProtection="1">
      <alignment horizontal="left" vertical="center"/>
    </xf>
    <xf numFmtId="0" fontId="17" fillId="9" borderId="23" xfId="0" applyFont="1" applyFill="1" applyBorder="1" applyProtection="1"/>
    <xf numFmtId="0" fontId="17" fillId="9" borderId="24" xfId="0" applyFont="1" applyFill="1" applyBorder="1" applyProtection="1"/>
    <xf numFmtId="0" fontId="26" fillId="14" borderId="23" xfId="0" applyFont="1" applyFill="1" applyBorder="1" applyAlignment="1" applyProtection="1">
      <alignment horizontal="left" vertical="center"/>
    </xf>
    <xf numFmtId="0" fontId="26" fillId="14" borderId="27" xfId="0" applyFont="1" applyFill="1" applyBorder="1" applyAlignment="1" applyProtection="1">
      <alignment horizontal="left" vertical="center"/>
    </xf>
    <xf numFmtId="0" fontId="27" fillId="14" borderId="1" xfId="0" applyFont="1" applyFill="1" applyBorder="1" applyAlignment="1" applyProtection="1">
      <alignment horizontal="center" vertical="center"/>
    </xf>
    <xf numFmtId="0" fontId="18" fillId="10" borderId="1" xfId="0" applyFont="1" applyFill="1" applyBorder="1" applyAlignment="1" applyProtection="1">
      <alignment horizontal="left" vertical="center"/>
    </xf>
    <xf numFmtId="0" fontId="26" fillId="10" borderId="26" xfId="0" applyFont="1" applyFill="1" applyBorder="1" applyAlignment="1" applyProtection="1">
      <alignment horizontal="left" vertical="center"/>
      <protection locked="0"/>
    </xf>
    <xf numFmtId="0" fontId="26" fillId="10" borderId="27" xfId="0" applyFont="1" applyFill="1" applyBorder="1" applyAlignment="1" applyProtection="1">
      <alignment horizontal="left" vertical="center"/>
      <protection locked="0"/>
    </xf>
    <xf numFmtId="0" fontId="0" fillId="14" borderId="23" xfId="0" applyFill="1" applyBorder="1" applyProtection="1"/>
    <xf numFmtId="0" fontId="0" fillId="14" borderId="25" xfId="0" applyFill="1" applyBorder="1" applyProtection="1"/>
    <xf numFmtId="0" fontId="0" fillId="14" borderId="27" xfId="0" applyFill="1" applyBorder="1" applyProtection="1"/>
    <xf numFmtId="0" fontId="0" fillId="14" borderId="29" xfId="0" applyFill="1" applyBorder="1" applyProtection="1"/>
    <xf numFmtId="7" fontId="33" fillId="12" borderId="1" xfId="0" applyNumberFormat="1" applyFont="1" applyFill="1" applyBorder="1" applyAlignment="1" applyProtection="1">
      <alignment horizontal="center" vertical="center"/>
      <protection locked="0"/>
    </xf>
    <xf numFmtId="0" fontId="33" fillId="12" borderId="1" xfId="0" applyFont="1" applyFill="1" applyBorder="1" applyAlignment="1" applyProtection="1">
      <alignment horizontal="center" vertical="center"/>
      <protection locked="0"/>
    </xf>
    <xf numFmtId="0" fontId="28" fillId="14" borderId="1" xfId="0" applyFont="1" applyFill="1" applyBorder="1" applyAlignment="1" applyProtection="1">
      <alignment horizontal="center" vertical="center"/>
    </xf>
    <xf numFmtId="9" fontId="31" fillId="10" borderId="1" xfId="0" applyNumberFormat="1" applyFont="1" applyFill="1" applyBorder="1" applyAlignment="1" applyProtection="1">
      <alignment horizontal="center" vertical="center"/>
    </xf>
    <xf numFmtId="0" fontId="31" fillId="10" borderId="1" xfId="0" applyFont="1" applyFill="1" applyBorder="1" applyAlignment="1" applyProtection="1">
      <alignment horizontal="center" vertical="center"/>
    </xf>
    <xf numFmtId="0" fontId="18" fillId="10" borderId="23" xfId="0" applyFont="1" applyFill="1" applyBorder="1" applyAlignment="1" applyProtection="1">
      <alignment horizontal="left" vertical="center"/>
    </xf>
    <xf numFmtId="0" fontId="18" fillId="10" borderId="24" xfId="0" applyFont="1" applyFill="1" applyBorder="1" applyAlignment="1" applyProtection="1">
      <alignment horizontal="left" vertical="center"/>
    </xf>
    <xf numFmtId="0" fontId="18" fillId="10" borderId="27" xfId="0" applyFont="1" applyFill="1" applyBorder="1" applyAlignment="1" applyProtection="1">
      <alignment horizontal="left" vertical="center"/>
    </xf>
    <xf numFmtId="0" fontId="18" fillId="10" borderId="28" xfId="0" applyFont="1" applyFill="1" applyBorder="1" applyAlignment="1" applyProtection="1">
      <alignment horizontal="left" vertical="center"/>
    </xf>
    <xf numFmtId="0" fontId="26" fillId="10" borderId="26" xfId="0" applyFont="1" applyFill="1" applyBorder="1" applyAlignment="1" applyProtection="1">
      <alignment horizontal="left" vertical="center"/>
    </xf>
    <xf numFmtId="0" fontId="26" fillId="10" borderId="27" xfId="0" applyFont="1" applyFill="1" applyBorder="1" applyAlignment="1" applyProtection="1">
      <alignment horizontal="left" vertical="center"/>
    </xf>
    <xf numFmtId="0" fontId="26" fillId="10" borderId="23" xfId="0" applyFont="1" applyFill="1" applyBorder="1" applyAlignment="1" applyProtection="1">
      <alignment horizontal="left" vertical="center"/>
    </xf>
    <xf numFmtId="0" fontId="17" fillId="7" borderId="0" xfId="0" applyNumberFormat="1" applyFont="1" applyFill="1" applyBorder="1" applyAlignment="1" applyProtection="1">
      <alignment horizontal="left"/>
      <protection locked="0"/>
    </xf>
    <xf numFmtId="0" fontId="17" fillId="6" borderId="0" xfId="0" applyNumberFormat="1" applyFont="1" applyFill="1" applyBorder="1" applyAlignment="1" applyProtection="1">
      <alignment horizontal="left"/>
      <protection locked="0"/>
    </xf>
    <xf numFmtId="0" fontId="17" fillId="7" borderId="0" xfId="0" applyNumberFormat="1" applyFont="1" applyFill="1" applyBorder="1" applyProtection="1">
      <protection locked="0"/>
    </xf>
    <xf numFmtId="0" fontId="17" fillId="6" borderId="0" xfId="0" applyNumberFormat="1" applyFont="1" applyFill="1" applyBorder="1" applyProtection="1">
      <protection locked="0"/>
    </xf>
    <xf numFmtId="0" fontId="4" fillId="8" borderId="15" xfId="0" applyNumberFormat="1" applyFont="1" applyFill="1" applyBorder="1" applyAlignment="1" applyProtection="1">
      <alignment horizontal="left" vertical="center" wrapText="1"/>
      <protection locked="0"/>
    </xf>
    <xf numFmtId="0" fontId="4" fillId="3" borderId="16" xfId="0" applyNumberFormat="1" applyFont="1" applyFill="1" applyBorder="1" applyAlignment="1" applyProtection="1">
      <alignment horizontal="left" vertical="center" wrapText="1"/>
      <protection locked="0"/>
    </xf>
    <xf numFmtId="0" fontId="4" fillId="3" borderId="17" xfId="0" applyNumberFormat="1" applyFont="1" applyFill="1" applyBorder="1" applyAlignment="1" applyProtection="1">
      <alignment horizontal="left" vertical="center" wrapText="1"/>
      <protection locked="0"/>
    </xf>
    <xf numFmtId="0" fontId="4" fillId="3" borderId="18" xfId="0" applyNumberFormat="1" applyFont="1" applyFill="1" applyBorder="1" applyAlignment="1" applyProtection="1">
      <alignment horizontal="left" vertical="center" wrapText="1"/>
      <protection locked="0"/>
    </xf>
    <xf numFmtId="0" fontId="4" fillId="3" borderId="0" xfId="0" applyNumberFormat="1" applyFont="1" applyFill="1" applyBorder="1" applyAlignment="1" applyProtection="1">
      <alignment horizontal="left" vertical="center" wrapText="1"/>
      <protection locked="0"/>
    </xf>
    <xf numFmtId="0" fontId="4" fillId="3" borderId="19" xfId="0" applyNumberFormat="1" applyFont="1" applyFill="1" applyBorder="1" applyAlignment="1" applyProtection="1">
      <alignment horizontal="left" vertical="center" wrapText="1"/>
      <protection locked="0"/>
    </xf>
    <xf numFmtId="0" fontId="4" fillId="3" borderId="20" xfId="0" applyNumberFormat="1" applyFont="1" applyFill="1" applyBorder="1" applyAlignment="1" applyProtection="1">
      <alignment horizontal="left" vertical="center" wrapText="1"/>
      <protection locked="0"/>
    </xf>
    <xf numFmtId="0" fontId="4" fillId="3" borderId="21" xfId="0" applyNumberFormat="1" applyFont="1" applyFill="1" applyBorder="1" applyAlignment="1" applyProtection="1">
      <alignment horizontal="left" vertical="center" wrapText="1"/>
      <protection locked="0"/>
    </xf>
    <xf numFmtId="0" fontId="4" fillId="3" borderId="22" xfId="0" applyNumberFormat="1" applyFont="1" applyFill="1" applyBorder="1" applyAlignment="1" applyProtection="1">
      <alignment horizontal="left" vertical="center" wrapText="1"/>
      <protection locked="0"/>
    </xf>
    <xf numFmtId="0" fontId="21" fillId="4" borderId="0" xfId="0" applyFont="1" applyFill="1" applyBorder="1" applyAlignment="1" applyProtection="1">
      <alignment horizontal="center"/>
      <protection locked="0"/>
    </xf>
    <xf numFmtId="44" fontId="0" fillId="8" borderId="1" xfId="1" applyFont="1" applyFill="1" applyBorder="1" applyAlignment="1" applyProtection="1">
      <alignment horizontal="center"/>
      <protection locked="0"/>
    </xf>
    <xf numFmtId="0" fontId="0" fillId="8" borderId="1" xfId="0" applyFont="1" applyFill="1" applyBorder="1" applyProtection="1">
      <protection locked="0"/>
    </xf>
    <xf numFmtId="0" fontId="0" fillId="8" borderId="1" xfId="0" applyFont="1" applyFill="1" applyBorder="1" applyAlignment="1" applyProtection="1">
      <alignment horizontal="center"/>
      <protection locked="0"/>
    </xf>
    <xf numFmtId="0" fontId="17" fillId="7" borderId="0" xfId="0" applyFont="1" applyFill="1" applyBorder="1" applyAlignment="1" applyProtection="1">
      <alignment vertical="top"/>
      <protection locked="0"/>
    </xf>
    <xf numFmtId="0" fontId="0" fillId="5" borderId="0" xfId="0" applyFont="1" applyFill="1" applyBorder="1" applyAlignment="1" applyProtection="1">
      <alignment vertical="top"/>
      <protection locked="0"/>
    </xf>
    <xf numFmtId="0" fontId="24" fillId="0" borderId="1" xfId="0" applyFont="1" applyFill="1" applyBorder="1" applyAlignment="1" applyProtection="1">
      <alignment horizontal="center" vertical="center"/>
      <protection locked="0"/>
    </xf>
    <xf numFmtId="0" fontId="17" fillId="7" borderId="1" xfId="0" applyFont="1" applyFill="1" applyBorder="1" applyProtection="1">
      <protection locked="0"/>
    </xf>
    <xf numFmtId="0" fontId="20" fillId="4" borderId="0" xfId="0" quotePrefix="1" applyFont="1" applyFill="1" applyBorder="1" applyAlignment="1" applyProtection="1">
      <alignment horizontal="center" vertical="center"/>
      <protection locked="0"/>
    </xf>
    <xf numFmtId="0" fontId="30" fillId="4" borderId="4" xfId="0" applyFont="1" applyFill="1" applyBorder="1" applyAlignment="1" applyProtection="1">
      <alignment horizontal="center" vertical="center" wrapText="1"/>
      <protection locked="0"/>
    </xf>
    <xf numFmtId="0" fontId="30" fillId="4" borderId="5" xfId="0" applyFont="1" applyFill="1" applyBorder="1" applyAlignment="1" applyProtection="1">
      <alignment horizontal="center" vertical="center" wrapText="1"/>
      <protection locked="0"/>
    </xf>
    <xf numFmtId="0" fontId="30" fillId="4" borderId="6" xfId="0" applyFont="1" applyFill="1" applyBorder="1" applyAlignment="1" applyProtection="1">
      <alignment horizontal="center" vertical="center" wrapText="1"/>
      <protection locked="0"/>
    </xf>
    <xf numFmtId="0" fontId="30" fillId="4" borderId="7" xfId="0" applyFont="1" applyFill="1" applyBorder="1" applyAlignment="1" applyProtection="1">
      <alignment horizontal="center" vertical="center" wrapText="1"/>
      <protection locked="0"/>
    </xf>
    <xf numFmtId="0" fontId="20" fillId="4" borderId="0" xfId="0" applyFont="1" applyFill="1" applyBorder="1" applyAlignment="1" applyProtection="1">
      <alignment vertical="center"/>
      <protection locked="0"/>
    </xf>
    <xf numFmtId="0" fontId="19" fillId="4" borderId="0" xfId="0" applyNumberFormat="1" applyFont="1" applyFill="1" applyBorder="1" applyAlignment="1" applyProtection="1">
      <alignment wrapText="1"/>
      <protection locked="0"/>
    </xf>
    <xf numFmtId="0" fontId="10" fillId="4" borderId="3" xfId="0" applyFont="1" applyFill="1" applyBorder="1" applyAlignment="1" applyProtection="1">
      <alignment horizontal="center" vertical="center" wrapText="1"/>
      <protection locked="0"/>
    </xf>
    <xf numFmtId="0" fontId="10" fillId="4" borderId="2" xfId="0" applyFont="1" applyFill="1" applyBorder="1" applyAlignment="1" applyProtection="1">
      <alignment horizontal="center" vertical="center" wrapText="1"/>
      <protection locked="0"/>
    </xf>
    <xf numFmtId="0" fontId="29" fillId="4" borderId="9" xfId="0" applyFont="1" applyFill="1" applyBorder="1" applyAlignment="1" applyProtection="1">
      <alignment horizontal="center" vertical="center" wrapText="1"/>
      <protection locked="0"/>
    </xf>
    <xf numFmtId="0" fontId="29" fillId="4" borderId="10" xfId="0" applyFont="1" applyFill="1" applyBorder="1" applyAlignment="1" applyProtection="1">
      <alignment horizontal="center" vertical="center" wrapText="1"/>
      <protection locked="0"/>
    </xf>
    <xf numFmtId="0" fontId="29" fillId="4" borderId="11" xfId="0" applyFont="1" applyFill="1" applyBorder="1" applyAlignment="1" applyProtection="1">
      <alignment horizontal="center" vertical="center" wrapText="1"/>
      <protection locked="0"/>
    </xf>
    <xf numFmtId="0" fontId="29" fillId="4" borderId="8" xfId="0" applyFont="1" applyFill="1" applyBorder="1" applyAlignment="1" applyProtection="1">
      <alignment horizontal="center" vertical="center" wrapText="1"/>
      <protection locked="0"/>
    </xf>
    <xf numFmtId="0" fontId="29" fillId="4" borderId="12" xfId="0" applyFont="1" applyFill="1" applyBorder="1" applyAlignment="1" applyProtection="1">
      <alignment horizontal="center" vertical="center" wrapText="1"/>
      <protection locked="0"/>
    </xf>
    <xf numFmtId="0" fontId="29" fillId="4" borderId="13" xfId="0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Border="1" applyProtection="1">
      <protection locked="0"/>
    </xf>
    <xf numFmtId="0" fontId="37" fillId="0" borderId="0" xfId="0" applyFont="1" applyAlignment="1">
      <alignment horizontal="center" vertical="center" wrapText="1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CheckBox" fmlaLink="TOOL!$C$4" lockText="1" noThreeD="1"/>
</file>

<file path=xl/ctrlProps/ctrlProp2.xml><?xml version="1.0" encoding="utf-8"?>
<formControlPr xmlns="http://schemas.microsoft.com/office/spreadsheetml/2009/9/main" objectType="CheckBox" fmlaLink="TOOL!$D$4" lockText="1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57150</xdr:rowOff>
        </xdr:from>
        <xdr:to>
          <xdr:col>2</xdr:col>
          <xdr:colOff>962025</xdr:colOff>
          <xdr:row>3</xdr:row>
          <xdr:rowOff>142875</xdr:rowOff>
        </xdr:to>
        <xdr:sp macro="" textlink="">
          <xdr:nvSpPr>
            <xdr:cNvPr id="2054" name="PLANTYP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9525</xdr:rowOff>
        </xdr:from>
        <xdr:to>
          <xdr:col>0</xdr:col>
          <xdr:colOff>552450</xdr:colOff>
          <xdr:row>13</xdr:row>
          <xdr:rowOff>180975</xdr:rowOff>
        </xdr:to>
        <xdr:sp macro="" textlink="">
          <xdr:nvSpPr>
            <xdr:cNvPr id="2058" name="ComboBox4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7</xdr:row>
          <xdr:rowOff>57150</xdr:rowOff>
        </xdr:from>
        <xdr:to>
          <xdr:col>2</xdr:col>
          <xdr:colOff>1106453</xdr:colOff>
          <xdr:row>8</xdr:row>
          <xdr:rowOff>142875</xdr:rowOff>
        </xdr:to>
        <xdr:sp macro="" textlink="">
          <xdr:nvSpPr>
            <xdr:cNvPr id="2070" name="FRAMECOS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7</xdr:row>
          <xdr:rowOff>57150</xdr:rowOff>
        </xdr:from>
        <xdr:to>
          <xdr:col>4</xdr:col>
          <xdr:colOff>752667</xdr:colOff>
          <xdr:row>8</xdr:row>
          <xdr:rowOff>142875</xdr:rowOff>
        </xdr:to>
        <xdr:sp macro="" textlink="">
          <xdr:nvSpPr>
            <xdr:cNvPr id="2071" name="FRAMEALLOWANCE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10</xdr:row>
          <xdr:rowOff>57150</xdr:rowOff>
        </xdr:from>
        <xdr:to>
          <xdr:col>4</xdr:col>
          <xdr:colOff>752667</xdr:colOff>
          <xdr:row>11</xdr:row>
          <xdr:rowOff>142875</xdr:rowOff>
        </xdr:to>
        <xdr:sp macro="" textlink="">
          <xdr:nvSpPr>
            <xdr:cNvPr id="2072" name="MATERIALCOPAY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13</xdr:row>
          <xdr:rowOff>57150</xdr:rowOff>
        </xdr:from>
        <xdr:to>
          <xdr:col>4</xdr:col>
          <xdr:colOff>752667</xdr:colOff>
          <xdr:row>14</xdr:row>
          <xdr:rowOff>142875</xdr:rowOff>
        </xdr:to>
        <xdr:sp macro="" textlink="">
          <xdr:nvSpPr>
            <xdr:cNvPr id="2073" name="TextBox4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15</xdr:row>
          <xdr:rowOff>57150</xdr:rowOff>
        </xdr:from>
        <xdr:to>
          <xdr:col>4</xdr:col>
          <xdr:colOff>752667</xdr:colOff>
          <xdr:row>16</xdr:row>
          <xdr:rowOff>142875</xdr:rowOff>
        </xdr:to>
        <xdr:sp macro="" textlink="">
          <xdr:nvSpPr>
            <xdr:cNvPr id="2074" name="TextBox5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17</xdr:row>
          <xdr:rowOff>57150</xdr:rowOff>
        </xdr:from>
        <xdr:to>
          <xdr:col>4</xdr:col>
          <xdr:colOff>752667</xdr:colOff>
          <xdr:row>18</xdr:row>
          <xdr:rowOff>142875</xdr:rowOff>
        </xdr:to>
        <xdr:sp macro="" textlink="">
          <xdr:nvSpPr>
            <xdr:cNvPr id="2075" name="TextBox6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19</xdr:row>
          <xdr:rowOff>57150</xdr:rowOff>
        </xdr:from>
        <xdr:to>
          <xdr:col>4</xdr:col>
          <xdr:colOff>752667</xdr:colOff>
          <xdr:row>20</xdr:row>
          <xdr:rowOff>142875</xdr:rowOff>
        </xdr:to>
        <xdr:sp macro="" textlink="">
          <xdr:nvSpPr>
            <xdr:cNvPr id="2076" name="TextBox7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21</xdr:row>
          <xdr:rowOff>57150</xdr:rowOff>
        </xdr:from>
        <xdr:to>
          <xdr:col>4</xdr:col>
          <xdr:colOff>752667</xdr:colOff>
          <xdr:row>22</xdr:row>
          <xdr:rowOff>142875</xdr:rowOff>
        </xdr:to>
        <xdr:sp macro="" textlink="">
          <xdr:nvSpPr>
            <xdr:cNvPr id="2077" name="TextBox8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182528</xdr:colOff>
          <xdr:row>23</xdr:row>
          <xdr:rowOff>57150</xdr:rowOff>
        </xdr:from>
        <xdr:to>
          <xdr:col>4</xdr:col>
          <xdr:colOff>752667</xdr:colOff>
          <xdr:row>24</xdr:row>
          <xdr:rowOff>142875</xdr:rowOff>
        </xdr:to>
        <xdr:sp macro="" textlink="">
          <xdr:nvSpPr>
            <xdr:cNvPr id="2078" name="TextBox9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9525</xdr:rowOff>
        </xdr:from>
        <xdr:to>
          <xdr:col>0</xdr:col>
          <xdr:colOff>552450</xdr:colOff>
          <xdr:row>15</xdr:row>
          <xdr:rowOff>180975</xdr:rowOff>
        </xdr:to>
        <xdr:sp macro="" textlink="">
          <xdr:nvSpPr>
            <xdr:cNvPr id="2095" name="ComboBox5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9525</xdr:rowOff>
        </xdr:from>
        <xdr:to>
          <xdr:col>0</xdr:col>
          <xdr:colOff>552450</xdr:colOff>
          <xdr:row>17</xdr:row>
          <xdr:rowOff>180975</xdr:rowOff>
        </xdr:to>
        <xdr:sp macro="" textlink="">
          <xdr:nvSpPr>
            <xdr:cNvPr id="2096" name="ComboBox6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9525</xdr:rowOff>
        </xdr:from>
        <xdr:to>
          <xdr:col>0</xdr:col>
          <xdr:colOff>552450</xdr:colOff>
          <xdr:row>19</xdr:row>
          <xdr:rowOff>180975</xdr:rowOff>
        </xdr:to>
        <xdr:sp macro="" textlink="">
          <xdr:nvSpPr>
            <xdr:cNvPr id="2097" name="ComboBox7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9525</xdr:rowOff>
        </xdr:from>
        <xdr:to>
          <xdr:col>0</xdr:col>
          <xdr:colOff>552450</xdr:colOff>
          <xdr:row>21</xdr:row>
          <xdr:rowOff>180975</xdr:rowOff>
        </xdr:to>
        <xdr:sp macro="" textlink="">
          <xdr:nvSpPr>
            <xdr:cNvPr id="2098" name="ComboBox8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9525</xdr:rowOff>
        </xdr:from>
        <xdr:to>
          <xdr:col>0</xdr:col>
          <xdr:colOff>552450</xdr:colOff>
          <xdr:row>23</xdr:row>
          <xdr:rowOff>180975</xdr:rowOff>
        </xdr:to>
        <xdr:sp macro="" textlink="">
          <xdr:nvSpPr>
            <xdr:cNvPr id="2099" name="ComboBox9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</xdr:row>
          <xdr:rowOff>19050</xdr:rowOff>
        </xdr:from>
        <xdr:to>
          <xdr:col>2</xdr:col>
          <xdr:colOff>952500</xdr:colOff>
          <xdr:row>5</xdr:row>
          <xdr:rowOff>171450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</xdr:row>
          <xdr:rowOff>19050</xdr:rowOff>
        </xdr:from>
        <xdr:to>
          <xdr:col>4</xdr:col>
          <xdr:colOff>598714</xdr:colOff>
          <xdr:row>5</xdr:row>
          <xdr:rowOff>171450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10</xdr:row>
          <xdr:rowOff>57150</xdr:rowOff>
        </xdr:from>
        <xdr:to>
          <xdr:col>2</xdr:col>
          <xdr:colOff>1106453</xdr:colOff>
          <xdr:row>11</xdr:row>
          <xdr:rowOff>142875</xdr:rowOff>
        </xdr:to>
        <xdr:sp macro="" textlink="">
          <xdr:nvSpPr>
            <xdr:cNvPr id="2102" name="BASELENS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13</xdr:row>
          <xdr:rowOff>57150</xdr:rowOff>
        </xdr:from>
        <xdr:to>
          <xdr:col>2</xdr:col>
          <xdr:colOff>1106453</xdr:colOff>
          <xdr:row>14</xdr:row>
          <xdr:rowOff>142875</xdr:rowOff>
        </xdr:to>
        <xdr:sp macro="" textlink="">
          <xdr:nvSpPr>
            <xdr:cNvPr id="2103" name="TextBox1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15</xdr:row>
          <xdr:rowOff>57150</xdr:rowOff>
        </xdr:from>
        <xdr:to>
          <xdr:col>2</xdr:col>
          <xdr:colOff>1106453</xdr:colOff>
          <xdr:row>16</xdr:row>
          <xdr:rowOff>142875</xdr:rowOff>
        </xdr:to>
        <xdr:sp macro="" textlink="">
          <xdr:nvSpPr>
            <xdr:cNvPr id="2104" name="TextBox2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17</xdr:row>
          <xdr:rowOff>57150</xdr:rowOff>
        </xdr:from>
        <xdr:to>
          <xdr:col>2</xdr:col>
          <xdr:colOff>1106453</xdr:colOff>
          <xdr:row>18</xdr:row>
          <xdr:rowOff>142875</xdr:rowOff>
        </xdr:to>
        <xdr:sp macro="" textlink="">
          <xdr:nvSpPr>
            <xdr:cNvPr id="2105" name="TextBox3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19</xdr:row>
          <xdr:rowOff>57150</xdr:rowOff>
        </xdr:from>
        <xdr:to>
          <xdr:col>2</xdr:col>
          <xdr:colOff>1106453</xdr:colOff>
          <xdr:row>20</xdr:row>
          <xdr:rowOff>142875</xdr:rowOff>
        </xdr:to>
        <xdr:sp macro="" textlink="">
          <xdr:nvSpPr>
            <xdr:cNvPr id="2106" name="TextBox10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21</xdr:row>
          <xdr:rowOff>57150</xdr:rowOff>
        </xdr:from>
        <xdr:to>
          <xdr:col>2</xdr:col>
          <xdr:colOff>1106453</xdr:colOff>
          <xdr:row>22</xdr:row>
          <xdr:rowOff>142875</xdr:rowOff>
        </xdr:to>
        <xdr:sp macro="" textlink="">
          <xdr:nvSpPr>
            <xdr:cNvPr id="2107" name="TextBox11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23</xdr:row>
          <xdr:rowOff>57150</xdr:rowOff>
        </xdr:from>
        <xdr:to>
          <xdr:col>2</xdr:col>
          <xdr:colOff>1106453</xdr:colOff>
          <xdr:row>24</xdr:row>
          <xdr:rowOff>142875</xdr:rowOff>
        </xdr:to>
        <xdr:sp macro="" textlink="">
          <xdr:nvSpPr>
            <xdr:cNvPr id="2108" name="TextBox12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182528</xdr:colOff>
          <xdr:row>31</xdr:row>
          <xdr:rowOff>57150</xdr:rowOff>
        </xdr:from>
        <xdr:to>
          <xdr:col>2</xdr:col>
          <xdr:colOff>1096928</xdr:colOff>
          <xdr:row>32</xdr:row>
          <xdr:rowOff>142875</xdr:rowOff>
        </xdr:to>
        <xdr:sp macro="" textlink="">
          <xdr:nvSpPr>
            <xdr:cNvPr id="2111" name="ORDERNUMBER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239678</xdr:colOff>
          <xdr:row>34</xdr:row>
          <xdr:rowOff>57150</xdr:rowOff>
        </xdr:from>
        <xdr:to>
          <xdr:col>2</xdr:col>
          <xdr:colOff>1030253</xdr:colOff>
          <xdr:row>35</xdr:row>
          <xdr:rowOff>142875</xdr:rowOff>
        </xdr:to>
        <xdr:sp macro="" textlink="">
          <xdr:nvSpPr>
            <xdr:cNvPr id="2112" name="CLEAR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239678</xdr:colOff>
          <xdr:row>31</xdr:row>
          <xdr:rowOff>57150</xdr:rowOff>
        </xdr:from>
        <xdr:to>
          <xdr:col>4</xdr:col>
          <xdr:colOff>676467</xdr:colOff>
          <xdr:row>32</xdr:row>
          <xdr:rowOff>142875</xdr:rowOff>
        </xdr:to>
        <xdr:sp macro="" textlink="">
          <xdr:nvSpPr>
            <xdr:cNvPr id="2113" name="CASENOTE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173003</xdr:colOff>
          <xdr:row>41</xdr:row>
          <xdr:rowOff>38100</xdr:rowOff>
        </xdr:from>
        <xdr:to>
          <xdr:col>2</xdr:col>
          <xdr:colOff>1096928</xdr:colOff>
          <xdr:row>42</xdr:row>
          <xdr:rowOff>123825</xdr:rowOff>
        </xdr:to>
        <xdr:sp macro="" textlink="">
          <xdr:nvSpPr>
            <xdr:cNvPr id="2117" name="TextBox1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173003</xdr:colOff>
          <xdr:row>43</xdr:row>
          <xdr:rowOff>57150</xdr:rowOff>
        </xdr:from>
        <xdr:to>
          <xdr:col>2</xdr:col>
          <xdr:colOff>1096928</xdr:colOff>
          <xdr:row>44</xdr:row>
          <xdr:rowOff>142875</xdr:rowOff>
        </xdr:to>
        <xdr:sp macro="" textlink="">
          <xdr:nvSpPr>
            <xdr:cNvPr id="2118" name="TextBox1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173003</xdr:colOff>
          <xdr:row>49</xdr:row>
          <xdr:rowOff>57150</xdr:rowOff>
        </xdr:from>
        <xdr:to>
          <xdr:col>2</xdr:col>
          <xdr:colOff>1096928</xdr:colOff>
          <xdr:row>50</xdr:row>
          <xdr:rowOff>142875</xdr:rowOff>
        </xdr:to>
        <xdr:sp macro="" textlink="">
          <xdr:nvSpPr>
            <xdr:cNvPr id="2119" name="TextBox1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24</xdr:row>
          <xdr:rowOff>19050</xdr:rowOff>
        </xdr:from>
        <xdr:to>
          <xdr:col>10</xdr:col>
          <xdr:colOff>47625</xdr:colOff>
          <xdr:row>26</xdr:row>
          <xdr:rowOff>104775</xdr:rowOff>
        </xdr:to>
        <xdr:sp macro="" textlink="">
          <xdr:nvSpPr>
            <xdr:cNvPr id="1050" name="TextBox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40</xdr:row>
          <xdr:rowOff>47625</xdr:rowOff>
        </xdr:from>
        <xdr:to>
          <xdr:col>1</xdr:col>
          <xdr:colOff>552450</xdr:colOff>
          <xdr:row>42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40</xdr:row>
          <xdr:rowOff>47625</xdr:rowOff>
        </xdr:from>
        <xdr:to>
          <xdr:col>3</xdr:col>
          <xdr:colOff>523875</xdr:colOff>
          <xdr:row>42</xdr:row>
          <xdr:rowOff>142875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6.xml"/><Relationship Id="rId34" Type="http://schemas.openxmlformats.org/officeDocument/2006/relationships/image" Target="../media/image6.emf"/><Relationship Id="rId7" Type="http://schemas.openxmlformats.org/officeDocument/2006/relationships/control" Target="../activeX/activeX3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6.xml"/><Relationship Id="rId38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image" Target="../media/image5.emf"/><Relationship Id="rId37" Type="http://schemas.openxmlformats.org/officeDocument/2006/relationships/control" Target="../activeX/activeX29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28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5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image" Target="../media/image4.emf"/><Relationship Id="rId35" Type="http://schemas.openxmlformats.org/officeDocument/2006/relationships/control" Target="../activeX/activeX2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7.emf"/><Relationship Id="rId4" Type="http://schemas.openxmlformats.org/officeDocument/2006/relationships/control" Target="../activeX/activeX3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B11D78-D2F9-477A-8905-85A2652B96BD}">
  <sheetPr codeName="Sheet2"/>
  <dimension ref="A1:F51"/>
  <sheetViews>
    <sheetView showGridLines="0" zoomScale="70" zoomScaleNormal="70" workbookViewId="0">
      <selection activeCell="D45" sqref="D45"/>
    </sheetView>
  </sheetViews>
  <sheetFormatPr defaultRowHeight="15" x14ac:dyDescent="0.25"/>
  <cols>
    <col min="1" max="1" width="28.7109375" customWidth="1"/>
    <col min="2" max="2" width="14.7109375" customWidth="1"/>
    <col min="3" max="3" width="19" customWidth="1"/>
    <col min="4" max="4" width="20" customWidth="1"/>
    <col min="5" max="5" width="14.7109375" customWidth="1"/>
    <col min="6" max="6" width="20.140625" bestFit="1" customWidth="1"/>
  </cols>
  <sheetData>
    <row r="1" spans="1:6" x14ac:dyDescent="0.25">
      <c r="A1" s="147" t="s">
        <v>80</v>
      </c>
      <c r="B1" s="147"/>
      <c r="C1" s="147"/>
      <c r="D1" s="147"/>
      <c r="E1" s="147"/>
      <c r="F1" s="95"/>
    </row>
    <row r="2" spans="1:6" x14ac:dyDescent="0.25">
      <c r="A2" s="147"/>
      <c r="B2" s="147"/>
      <c r="C2" s="147"/>
      <c r="D2" s="147"/>
      <c r="E2" s="147"/>
      <c r="F2" s="95"/>
    </row>
    <row r="3" spans="1:6" x14ac:dyDescent="0.25">
      <c r="A3" s="154" t="s">
        <v>73</v>
      </c>
      <c r="B3" s="150"/>
      <c r="C3" s="151"/>
      <c r="D3" s="151"/>
      <c r="E3" s="151"/>
      <c r="F3" s="95"/>
    </row>
    <row r="4" spans="1:6" x14ac:dyDescent="0.25">
      <c r="A4" s="155"/>
      <c r="B4" s="152"/>
      <c r="C4" s="153"/>
      <c r="D4" s="153"/>
      <c r="E4" s="153"/>
      <c r="F4" s="95"/>
    </row>
    <row r="5" spans="1:6" x14ac:dyDescent="0.25">
      <c r="A5" s="156" t="s">
        <v>77</v>
      </c>
      <c r="B5" s="148">
        <v>0.1</v>
      </c>
      <c r="C5" s="149"/>
      <c r="D5" s="148">
        <v>0.2</v>
      </c>
      <c r="E5" s="149"/>
      <c r="F5" s="95"/>
    </row>
    <row r="6" spans="1:6" x14ac:dyDescent="0.25">
      <c r="A6" s="154"/>
      <c r="B6" s="149"/>
      <c r="C6" s="149"/>
      <c r="D6" s="149"/>
      <c r="E6" s="149"/>
      <c r="F6" s="95"/>
    </row>
    <row r="7" spans="1:6" ht="18.75" x14ac:dyDescent="0.3">
      <c r="A7" s="96"/>
      <c r="B7" s="137" t="s">
        <v>68</v>
      </c>
      <c r="C7" s="137"/>
      <c r="D7" s="137" t="s">
        <v>74</v>
      </c>
      <c r="E7" s="137"/>
      <c r="F7" s="95"/>
    </row>
    <row r="8" spans="1:6" x14ac:dyDescent="0.25">
      <c r="A8" s="154" t="s">
        <v>72</v>
      </c>
      <c r="B8" s="138"/>
      <c r="C8" s="138"/>
      <c r="D8" s="138"/>
      <c r="E8" s="138"/>
      <c r="F8" s="95"/>
    </row>
    <row r="9" spans="1:6" x14ac:dyDescent="0.25">
      <c r="A9" s="155"/>
      <c r="B9" s="138"/>
      <c r="C9" s="138"/>
      <c r="D9" s="138"/>
      <c r="E9" s="138"/>
      <c r="F9" s="128"/>
    </row>
    <row r="10" spans="1:6" ht="18.75" x14ac:dyDescent="0.3">
      <c r="A10" s="96"/>
      <c r="B10" s="137" t="s">
        <v>68</v>
      </c>
      <c r="C10" s="137"/>
      <c r="D10" s="137" t="s">
        <v>69</v>
      </c>
      <c r="E10" s="137"/>
      <c r="F10" s="128"/>
    </row>
    <row r="11" spans="1:6" x14ac:dyDescent="0.25">
      <c r="A11" s="139" t="s">
        <v>71</v>
      </c>
      <c r="B11" s="138"/>
      <c r="C11" s="138"/>
      <c r="D11" s="138"/>
      <c r="E11" s="138"/>
      <c r="F11" s="128" t="str">
        <f>IF(A11="BASE LENS","",A11)</f>
        <v/>
      </c>
    </row>
    <row r="12" spans="1:6" x14ac:dyDescent="0.25">
      <c r="A12" s="140"/>
      <c r="B12" s="138"/>
      <c r="C12" s="138"/>
      <c r="D12" s="138"/>
      <c r="E12" s="138"/>
      <c r="F12" s="128"/>
    </row>
    <row r="13" spans="1:6" ht="18.75" x14ac:dyDescent="0.25">
      <c r="A13" s="97" t="s">
        <v>70</v>
      </c>
      <c r="B13" s="137" t="s">
        <v>68</v>
      </c>
      <c r="C13" s="137"/>
      <c r="D13" s="137" t="s">
        <v>78</v>
      </c>
      <c r="E13" s="137"/>
      <c r="F13" s="98" t="s">
        <v>75</v>
      </c>
    </row>
    <row r="14" spans="1:6" x14ac:dyDescent="0.25">
      <c r="A14" s="99"/>
      <c r="B14" s="138"/>
      <c r="C14" s="138"/>
      <c r="D14" s="138"/>
      <c r="E14" s="138"/>
      <c r="F14" s="145"/>
    </row>
    <row r="15" spans="1:6" x14ac:dyDescent="0.25">
      <c r="A15" s="113"/>
      <c r="B15" s="138"/>
      <c r="C15" s="138"/>
      <c r="D15" s="138"/>
      <c r="E15" s="138"/>
      <c r="F15" s="146"/>
    </row>
    <row r="16" spans="1:6" x14ac:dyDescent="0.25">
      <c r="A16" s="99"/>
      <c r="B16" s="138"/>
      <c r="C16" s="138"/>
      <c r="D16" s="138"/>
      <c r="E16" s="138"/>
      <c r="F16" s="145"/>
    </row>
    <row r="17" spans="1:6" x14ac:dyDescent="0.25">
      <c r="A17" s="113"/>
      <c r="B17" s="138"/>
      <c r="C17" s="138"/>
      <c r="D17" s="138"/>
      <c r="E17" s="138"/>
      <c r="F17" s="146"/>
    </row>
    <row r="18" spans="1:6" x14ac:dyDescent="0.25">
      <c r="A18" s="99"/>
      <c r="B18" s="138"/>
      <c r="C18" s="138"/>
      <c r="D18" s="138"/>
      <c r="E18" s="138"/>
      <c r="F18" s="145"/>
    </row>
    <row r="19" spans="1:6" x14ac:dyDescent="0.25">
      <c r="A19" s="113"/>
      <c r="B19" s="138"/>
      <c r="C19" s="138"/>
      <c r="D19" s="138"/>
      <c r="E19" s="138"/>
      <c r="F19" s="146"/>
    </row>
    <row r="20" spans="1:6" x14ac:dyDescent="0.25">
      <c r="A20" s="99"/>
      <c r="B20" s="138"/>
      <c r="C20" s="138"/>
      <c r="D20" s="138"/>
      <c r="E20" s="138"/>
      <c r="F20" s="145"/>
    </row>
    <row r="21" spans="1:6" x14ac:dyDescent="0.25">
      <c r="A21" s="113"/>
      <c r="B21" s="138"/>
      <c r="C21" s="138"/>
      <c r="D21" s="138"/>
      <c r="E21" s="138"/>
      <c r="F21" s="146"/>
    </row>
    <row r="22" spans="1:6" x14ac:dyDescent="0.25">
      <c r="A22" s="99"/>
      <c r="B22" s="138"/>
      <c r="C22" s="138"/>
      <c r="D22" s="138"/>
      <c r="E22" s="138"/>
      <c r="F22" s="145"/>
    </row>
    <row r="23" spans="1:6" x14ac:dyDescent="0.25">
      <c r="A23" s="113"/>
      <c r="B23" s="138"/>
      <c r="C23" s="138"/>
      <c r="D23" s="138"/>
      <c r="E23" s="138"/>
      <c r="F23" s="146"/>
    </row>
    <row r="24" spans="1:6" x14ac:dyDescent="0.25">
      <c r="A24" s="99"/>
      <c r="B24" s="138"/>
      <c r="C24" s="138"/>
      <c r="D24" s="138"/>
      <c r="E24" s="138"/>
      <c r="F24" s="145"/>
    </row>
    <row r="25" spans="1:6" x14ac:dyDescent="0.25">
      <c r="A25" s="113"/>
      <c r="B25" s="138"/>
      <c r="C25" s="138"/>
      <c r="D25" s="138"/>
      <c r="E25" s="138"/>
      <c r="F25" s="146"/>
    </row>
    <row r="26" spans="1:6" x14ac:dyDescent="0.25">
      <c r="A26" s="133"/>
      <c r="B26" s="134"/>
      <c r="C26" s="134"/>
      <c r="D26" s="134"/>
      <c r="E26" s="134"/>
      <c r="F26" s="100"/>
    </row>
    <row r="27" spans="1:6" x14ac:dyDescent="0.25">
      <c r="A27" s="101"/>
      <c r="B27" s="102" t="s">
        <v>61</v>
      </c>
      <c r="C27" s="102" t="s">
        <v>58</v>
      </c>
      <c r="D27" s="102" t="s">
        <v>2</v>
      </c>
      <c r="E27" s="103"/>
      <c r="F27" s="100"/>
    </row>
    <row r="28" spans="1:6" x14ac:dyDescent="0.25">
      <c r="A28" s="104" t="str">
        <f>TOOL!B20</f>
        <v>Lenses</v>
      </c>
      <c r="B28" s="105">
        <f>TOOL!C20</f>
        <v>0</v>
      </c>
      <c r="C28" s="105">
        <f>TOOL!D20</f>
        <v>0</v>
      </c>
      <c r="D28" s="105">
        <f>TOOL!E20</f>
        <v>0</v>
      </c>
      <c r="E28" s="106"/>
      <c r="F28" s="95"/>
    </row>
    <row r="29" spans="1:6" x14ac:dyDescent="0.25">
      <c r="A29" s="104" t="str">
        <f>TOOL!B21</f>
        <v>Frame</v>
      </c>
      <c r="B29" s="105">
        <f>TOOL!C21</f>
        <v>0</v>
      </c>
      <c r="C29" s="105">
        <f>TOOL!D21</f>
        <v>0</v>
      </c>
      <c r="D29" s="105">
        <f>TOOL!E21</f>
        <v>0</v>
      </c>
      <c r="E29" s="106"/>
      <c r="F29" s="95"/>
    </row>
    <row r="30" spans="1:6" x14ac:dyDescent="0.25">
      <c r="A30" s="104" t="str">
        <f>TOOL!B22</f>
        <v>Total</v>
      </c>
      <c r="B30" s="105">
        <f>TOOL!C22</f>
        <v>0</v>
      </c>
      <c r="C30" s="105">
        <f>TOOL!D22</f>
        <v>0</v>
      </c>
      <c r="D30" s="105">
        <f>TOOL!E22</f>
        <v>0</v>
      </c>
      <c r="E30" s="106"/>
      <c r="F30" s="95"/>
    </row>
    <row r="31" spans="1:6" x14ac:dyDescent="0.25">
      <c r="A31" s="107"/>
      <c r="B31" s="108"/>
      <c r="C31" s="108"/>
      <c r="D31" s="108"/>
      <c r="E31" s="107"/>
      <c r="F31" s="95"/>
    </row>
    <row r="32" spans="1:6" x14ac:dyDescent="0.25">
      <c r="A32" s="135" t="s">
        <v>76</v>
      </c>
      <c r="B32" s="129"/>
      <c r="C32" s="130"/>
      <c r="D32" s="109"/>
      <c r="E32" s="110"/>
      <c r="F32" s="95"/>
    </row>
    <row r="33" spans="1:6" x14ac:dyDescent="0.25">
      <c r="A33" s="136"/>
      <c r="B33" s="131"/>
      <c r="C33" s="132"/>
      <c r="D33" s="111"/>
      <c r="E33" s="112"/>
      <c r="F33" s="95"/>
    </row>
    <row r="34" spans="1:6" x14ac:dyDescent="0.25">
      <c r="A34" s="95"/>
      <c r="B34" s="95"/>
      <c r="C34" s="95"/>
      <c r="D34" s="95"/>
      <c r="E34" s="95"/>
      <c r="F34" s="95"/>
    </row>
    <row r="35" spans="1:6" x14ac:dyDescent="0.25">
      <c r="A35" s="95"/>
      <c r="B35" s="141"/>
      <c r="C35" s="142"/>
      <c r="D35" s="95"/>
      <c r="E35" s="95"/>
      <c r="F35" s="95"/>
    </row>
    <row r="36" spans="1:6" x14ac:dyDescent="0.25">
      <c r="A36" s="95"/>
      <c r="B36" s="143"/>
      <c r="C36" s="144"/>
      <c r="D36" s="95"/>
      <c r="E36" s="95"/>
      <c r="F36" s="95"/>
    </row>
    <row r="37" spans="1:6" x14ac:dyDescent="0.25">
      <c r="A37" s="95"/>
      <c r="B37" s="95"/>
      <c r="C37" s="95"/>
      <c r="D37" s="95"/>
      <c r="E37" s="95"/>
      <c r="F37" s="95"/>
    </row>
    <row r="38" spans="1:6" x14ac:dyDescent="0.25">
      <c r="A38" s="95"/>
      <c r="B38" s="95"/>
      <c r="C38" s="95"/>
      <c r="D38" s="95"/>
      <c r="E38" s="95"/>
      <c r="F38" s="95"/>
    </row>
    <row r="39" spans="1:6" x14ac:dyDescent="0.25">
      <c r="A39" s="121" t="s">
        <v>81</v>
      </c>
      <c r="B39" s="122"/>
      <c r="C39" s="122"/>
      <c r="D39" s="95"/>
      <c r="E39" s="95"/>
      <c r="F39" s="95"/>
    </row>
    <row r="40" spans="1:6" x14ac:dyDescent="0.25">
      <c r="A40" s="123"/>
      <c r="B40" s="124"/>
      <c r="C40" s="124"/>
      <c r="D40" s="95"/>
      <c r="E40" s="95"/>
      <c r="F40" s="95"/>
    </row>
    <row r="41" spans="1:6" x14ac:dyDescent="0.25">
      <c r="A41" s="92"/>
      <c r="B41" s="118" t="s">
        <v>38</v>
      </c>
      <c r="C41" s="118"/>
    </row>
    <row r="42" spans="1:6" x14ac:dyDescent="0.25">
      <c r="A42" s="125" t="s">
        <v>3</v>
      </c>
      <c r="B42" s="117"/>
      <c r="C42" s="117"/>
    </row>
    <row r="43" spans="1:6" x14ac:dyDescent="0.25">
      <c r="A43" s="125"/>
      <c r="B43" s="117"/>
      <c r="C43" s="117"/>
    </row>
    <row r="44" spans="1:6" x14ac:dyDescent="0.25">
      <c r="A44" s="125" t="s">
        <v>1</v>
      </c>
      <c r="B44" s="127"/>
      <c r="C44" s="127"/>
    </row>
    <row r="45" spans="1:6" x14ac:dyDescent="0.25">
      <c r="A45" s="125"/>
      <c r="B45" s="127"/>
      <c r="C45" s="127"/>
    </row>
    <row r="46" spans="1:6" x14ac:dyDescent="0.25">
      <c r="A46" s="93" t="s">
        <v>55</v>
      </c>
      <c r="B46" s="126">
        <f>TOOL!C35</f>
        <v>0</v>
      </c>
      <c r="C46" s="126"/>
    </row>
    <row r="47" spans="1:6" x14ac:dyDescent="0.25">
      <c r="A47" s="90"/>
      <c r="B47" s="91"/>
    </row>
    <row r="48" spans="1:6" x14ac:dyDescent="0.25">
      <c r="A48" s="121" t="s">
        <v>82</v>
      </c>
      <c r="B48" s="122"/>
      <c r="C48" s="122"/>
    </row>
    <row r="49" spans="1:3" x14ac:dyDescent="0.25">
      <c r="A49" s="123"/>
      <c r="B49" s="124"/>
      <c r="C49" s="124"/>
    </row>
    <row r="50" spans="1:3" x14ac:dyDescent="0.25">
      <c r="A50" s="120" t="s">
        <v>49</v>
      </c>
      <c r="B50" s="119"/>
      <c r="C50" s="119"/>
    </row>
    <row r="51" spans="1:3" x14ac:dyDescent="0.25">
      <c r="A51" s="120"/>
      <c r="B51" s="119"/>
      <c r="C51" s="119"/>
    </row>
  </sheetData>
  <sheetProtection algorithmName="SHA-512" hashValue="1KInnvuTRWchYZKl4XV7g9eVTzVYzi7glzPn21GGLiC5TRbV6FA1IZFJPIxEXh1RGvMnSbH3WyF8awHPQuVcBQ==" saltValue="NL0oJDiC0zg4p1NnDEhy9Q==" spinCount="100000" sheet="1" objects="1" scenarios="1"/>
  <mergeCells count="52">
    <mergeCell ref="A1:E2"/>
    <mergeCell ref="B10:C10"/>
    <mergeCell ref="D10:E10"/>
    <mergeCell ref="D5:E6"/>
    <mergeCell ref="B3:E4"/>
    <mergeCell ref="D8:E9"/>
    <mergeCell ref="B7:C7"/>
    <mergeCell ref="D7:E7"/>
    <mergeCell ref="B8:C9"/>
    <mergeCell ref="B5:C6"/>
    <mergeCell ref="A8:A9"/>
    <mergeCell ref="A3:A4"/>
    <mergeCell ref="A5:A6"/>
    <mergeCell ref="B35:C36"/>
    <mergeCell ref="F14:F15"/>
    <mergeCell ref="F16:F17"/>
    <mergeCell ref="F18:F19"/>
    <mergeCell ref="F20:F21"/>
    <mergeCell ref="F22:F23"/>
    <mergeCell ref="F24:F25"/>
    <mergeCell ref="D24:E25"/>
    <mergeCell ref="D14:E15"/>
    <mergeCell ref="D16:E17"/>
    <mergeCell ref="D18:E19"/>
    <mergeCell ref="D20:E21"/>
    <mergeCell ref="D22:E23"/>
    <mergeCell ref="B14:C15"/>
    <mergeCell ref="B16:C17"/>
    <mergeCell ref="B18:C19"/>
    <mergeCell ref="F11:F12"/>
    <mergeCell ref="F9:F10"/>
    <mergeCell ref="B32:C33"/>
    <mergeCell ref="A26:E26"/>
    <mergeCell ref="A32:A33"/>
    <mergeCell ref="B13:C13"/>
    <mergeCell ref="D13:E13"/>
    <mergeCell ref="D11:E12"/>
    <mergeCell ref="B11:C12"/>
    <mergeCell ref="B20:C21"/>
    <mergeCell ref="B22:C23"/>
    <mergeCell ref="B24:C25"/>
    <mergeCell ref="A11:A12"/>
    <mergeCell ref="B42:C43"/>
    <mergeCell ref="B41:C41"/>
    <mergeCell ref="B50:C51"/>
    <mergeCell ref="A50:A51"/>
    <mergeCell ref="A39:C40"/>
    <mergeCell ref="A48:C49"/>
    <mergeCell ref="A44:A45"/>
    <mergeCell ref="A42:A43"/>
    <mergeCell ref="B46:C46"/>
    <mergeCell ref="B44:C45"/>
  </mergeCells>
  <dataValidations count="7">
    <dataValidation allowBlank="1" showInputMessage="1" showErrorMessage="1" prompt="Select member's VSP plan type" sqref="A3" xr:uid="{768954F1-78A2-48FF-AFD9-AAF0CD45484E}"/>
    <dataValidation allowBlank="1" showInputMessage="1" showErrorMessage="1" prompt="Select any discounts applied to the order. Usually listed under frame information. Also shown as a &quot;cost&quot; in parenthesis: ($0.00)" sqref="A5" xr:uid="{48A9D707-2E63-48C2-8C69-1F8B57CA0C22}"/>
    <dataValidation allowBlank="1" showInputMessage="1" showErrorMessage="1" promptTitle="Lens Enhancement Chart" prompt="Quick Reference based on input. These numbers are the VSP LE Chart copays." sqref="F9:F25" xr:uid="{996B78BD-9351-4903-96D5-6C1962AA865F}"/>
    <dataValidation allowBlank="1" sqref="A27:D27 A44 A50 B44 A46:A48 A42 A39 B41:B42 B46:B47 B50" xr:uid="{C03BA9D0-86C6-4ABD-9688-2B57B829A01F}"/>
    <dataValidation allowBlank="1" showInputMessage="1" showErrorMessage="1" promptTitle="FRAME" prompt="Retail Cost and VB Allowance" sqref="A8:A9" xr:uid="{92C7AD51-9CEF-4825-B6B5-7C39089E4A08}"/>
    <dataValidation allowBlank="1" showInputMessage="1" showErrorMessage="1" promptTitle="BASE LENS" prompt="$34 = Single Vision_x000a_$49 = Progressive" sqref="A11:A12" xr:uid="{E8307F15-AFF4-43A3-AD81-055F7109501A}"/>
    <dataValidation allowBlank="1" showInputMessage="1" showErrorMessage="1" promptTitle="Lens Enhancements" prompt="Add-ons or Enhancements" sqref="A14:A25" xr:uid="{B3AA15A7-E3AD-4AB7-8883-834C6BD7F2F4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4" r:id="rId3" name="PLANTYPE">
          <controlPr defaultSize="0" autoLine="0" listFillRange="TOOL!A46:A47" r:id="rId4">
            <anchor moveWithCells="1">
              <from>
                <xdr:col>1</xdr:col>
                <xdr:colOff>38100</xdr:colOff>
                <xdr:row>2</xdr:row>
                <xdr:rowOff>57150</xdr:rowOff>
              </from>
              <to>
                <xdr:col>2</xdr:col>
                <xdr:colOff>962025</xdr:colOff>
                <xdr:row>3</xdr:row>
                <xdr:rowOff>142875</xdr:rowOff>
              </to>
            </anchor>
          </controlPr>
        </control>
      </mc:Choice>
      <mc:Fallback>
        <control shapeId="2054" r:id="rId3" name="PLANTYPE"/>
      </mc:Fallback>
    </mc:AlternateContent>
    <mc:AlternateContent xmlns:mc="http://schemas.openxmlformats.org/markup-compatibility/2006">
      <mc:Choice Requires="x14">
        <control shapeId="2058" r:id="rId5" name="ComboBox4">
          <controlPr defaultSize="0" autoLine="0" listFillRange="TOOL!I5:I19" r:id="rId6">
            <anchor moveWithCells="1">
              <from>
                <xdr:col>0</xdr:col>
                <xdr:colOff>0</xdr:colOff>
                <xdr:row>13</xdr:row>
                <xdr:rowOff>9525</xdr:rowOff>
              </from>
              <to>
                <xdr:col>0</xdr:col>
                <xdr:colOff>552450</xdr:colOff>
                <xdr:row>13</xdr:row>
                <xdr:rowOff>180975</xdr:rowOff>
              </to>
            </anchor>
          </controlPr>
        </control>
      </mc:Choice>
      <mc:Fallback>
        <control shapeId="2058" r:id="rId5" name="ComboBox4"/>
      </mc:Fallback>
    </mc:AlternateContent>
    <mc:AlternateContent xmlns:mc="http://schemas.openxmlformats.org/markup-compatibility/2006">
      <mc:Choice Requires="x14">
        <control shapeId="2070" r:id="rId7" name="FRAMECOST">
          <controlPr defaultSize="0" autoLine="0" r:id="rId8">
            <anchor moveWithCells="1">
              <from>
                <xdr:col>1</xdr:col>
                <xdr:colOff>180975</xdr:colOff>
                <xdr:row>7</xdr:row>
                <xdr:rowOff>57150</xdr:rowOff>
              </from>
              <to>
                <xdr:col>2</xdr:col>
                <xdr:colOff>1104900</xdr:colOff>
                <xdr:row>8</xdr:row>
                <xdr:rowOff>142875</xdr:rowOff>
              </to>
            </anchor>
          </controlPr>
        </control>
      </mc:Choice>
      <mc:Fallback>
        <control shapeId="2070" r:id="rId7" name="FRAMECOST"/>
      </mc:Fallback>
    </mc:AlternateContent>
    <mc:AlternateContent xmlns:mc="http://schemas.openxmlformats.org/markup-compatibility/2006">
      <mc:Choice Requires="x14">
        <control shapeId="2071" r:id="rId9" name="FRAMEALLOWANCE">
          <controlPr defaultSize="0" autoLine="0" r:id="rId8">
            <anchor moveWithCells="1">
              <from>
                <xdr:col>3</xdr:col>
                <xdr:colOff>180975</xdr:colOff>
                <xdr:row>7</xdr:row>
                <xdr:rowOff>57150</xdr:rowOff>
              </from>
              <to>
                <xdr:col>4</xdr:col>
                <xdr:colOff>752475</xdr:colOff>
                <xdr:row>8</xdr:row>
                <xdr:rowOff>142875</xdr:rowOff>
              </to>
            </anchor>
          </controlPr>
        </control>
      </mc:Choice>
      <mc:Fallback>
        <control shapeId="2071" r:id="rId9" name="FRAMEALLOWANCE"/>
      </mc:Fallback>
    </mc:AlternateContent>
    <mc:AlternateContent xmlns:mc="http://schemas.openxmlformats.org/markup-compatibility/2006">
      <mc:Choice Requires="x14">
        <control shapeId="2072" r:id="rId10" name="MATERIALCOPAY">
          <controlPr defaultSize="0" autoLine="0" r:id="rId8">
            <anchor moveWithCells="1">
              <from>
                <xdr:col>3</xdr:col>
                <xdr:colOff>180975</xdr:colOff>
                <xdr:row>10</xdr:row>
                <xdr:rowOff>57150</xdr:rowOff>
              </from>
              <to>
                <xdr:col>4</xdr:col>
                <xdr:colOff>752475</xdr:colOff>
                <xdr:row>11</xdr:row>
                <xdr:rowOff>142875</xdr:rowOff>
              </to>
            </anchor>
          </controlPr>
        </control>
      </mc:Choice>
      <mc:Fallback>
        <control shapeId="2072" r:id="rId10" name="MATERIALCOPAY"/>
      </mc:Fallback>
    </mc:AlternateContent>
    <mc:AlternateContent xmlns:mc="http://schemas.openxmlformats.org/markup-compatibility/2006">
      <mc:Choice Requires="x14">
        <control shapeId="2073" r:id="rId11" name="TextBox4">
          <controlPr defaultSize="0" autoLine="0" r:id="rId8">
            <anchor moveWithCells="1">
              <from>
                <xdr:col>3</xdr:col>
                <xdr:colOff>180975</xdr:colOff>
                <xdr:row>13</xdr:row>
                <xdr:rowOff>57150</xdr:rowOff>
              </from>
              <to>
                <xdr:col>4</xdr:col>
                <xdr:colOff>752475</xdr:colOff>
                <xdr:row>14</xdr:row>
                <xdr:rowOff>142875</xdr:rowOff>
              </to>
            </anchor>
          </controlPr>
        </control>
      </mc:Choice>
      <mc:Fallback>
        <control shapeId="2073" r:id="rId11" name="TextBox4"/>
      </mc:Fallback>
    </mc:AlternateContent>
    <mc:AlternateContent xmlns:mc="http://schemas.openxmlformats.org/markup-compatibility/2006">
      <mc:Choice Requires="x14">
        <control shapeId="2074" r:id="rId12" name="TextBox5">
          <controlPr defaultSize="0" autoLine="0" r:id="rId8">
            <anchor moveWithCells="1">
              <from>
                <xdr:col>3</xdr:col>
                <xdr:colOff>180975</xdr:colOff>
                <xdr:row>15</xdr:row>
                <xdr:rowOff>57150</xdr:rowOff>
              </from>
              <to>
                <xdr:col>4</xdr:col>
                <xdr:colOff>752475</xdr:colOff>
                <xdr:row>16</xdr:row>
                <xdr:rowOff>142875</xdr:rowOff>
              </to>
            </anchor>
          </controlPr>
        </control>
      </mc:Choice>
      <mc:Fallback>
        <control shapeId="2074" r:id="rId12" name="TextBox5"/>
      </mc:Fallback>
    </mc:AlternateContent>
    <mc:AlternateContent xmlns:mc="http://schemas.openxmlformats.org/markup-compatibility/2006">
      <mc:Choice Requires="x14">
        <control shapeId="2075" r:id="rId13" name="TextBox6">
          <controlPr defaultSize="0" autoLine="0" r:id="rId8">
            <anchor moveWithCells="1">
              <from>
                <xdr:col>3</xdr:col>
                <xdr:colOff>180975</xdr:colOff>
                <xdr:row>17</xdr:row>
                <xdr:rowOff>57150</xdr:rowOff>
              </from>
              <to>
                <xdr:col>4</xdr:col>
                <xdr:colOff>752475</xdr:colOff>
                <xdr:row>18</xdr:row>
                <xdr:rowOff>142875</xdr:rowOff>
              </to>
            </anchor>
          </controlPr>
        </control>
      </mc:Choice>
      <mc:Fallback>
        <control shapeId="2075" r:id="rId13" name="TextBox6"/>
      </mc:Fallback>
    </mc:AlternateContent>
    <mc:AlternateContent xmlns:mc="http://schemas.openxmlformats.org/markup-compatibility/2006">
      <mc:Choice Requires="x14">
        <control shapeId="2076" r:id="rId14" name="TextBox7">
          <controlPr defaultSize="0" autoLine="0" r:id="rId8">
            <anchor moveWithCells="1">
              <from>
                <xdr:col>3</xdr:col>
                <xdr:colOff>180975</xdr:colOff>
                <xdr:row>19</xdr:row>
                <xdr:rowOff>57150</xdr:rowOff>
              </from>
              <to>
                <xdr:col>4</xdr:col>
                <xdr:colOff>752475</xdr:colOff>
                <xdr:row>20</xdr:row>
                <xdr:rowOff>142875</xdr:rowOff>
              </to>
            </anchor>
          </controlPr>
        </control>
      </mc:Choice>
      <mc:Fallback>
        <control shapeId="2076" r:id="rId14" name="TextBox7"/>
      </mc:Fallback>
    </mc:AlternateContent>
    <mc:AlternateContent xmlns:mc="http://schemas.openxmlformats.org/markup-compatibility/2006">
      <mc:Choice Requires="x14">
        <control shapeId="2077" r:id="rId15" name="TextBox8">
          <controlPr defaultSize="0" autoLine="0" r:id="rId8">
            <anchor moveWithCells="1">
              <from>
                <xdr:col>3</xdr:col>
                <xdr:colOff>180975</xdr:colOff>
                <xdr:row>21</xdr:row>
                <xdr:rowOff>57150</xdr:rowOff>
              </from>
              <to>
                <xdr:col>4</xdr:col>
                <xdr:colOff>752475</xdr:colOff>
                <xdr:row>22</xdr:row>
                <xdr:rowOff>142875</xdr:rowOff>
              </to>
            </anchor>
          </controlPr>
        </control>
      </mc:Choice>
      <mc:Fallback>
        <control shapeId="2077" r:id="rId15" name="TextBox8"/>
      </mc:Fallback>
    </mc:AlternateContent>
    <mc:AlternateContent xmlns:mc="http://schemas.openxmlformats.org/markup-compatibility/2006">
      <mc:Choice Requires="x14">
        <control shapeId="2078" r:id="rId16" name="TextBox9">
          <controlPr defaultSize="0" autoLine="0" r:id="rId8">
            <anchor moveWithCells="1">
              <from>
                <xdr:col>3</xdr:col>
                <xdr:colOff>180975</xdr:colOff>
                <xdr:row>23</xdr:row>
                <xdr:rowOff>57150</xdr:rowOff>
              </from>
              <to>
                <xdr:col>4</xdr:col>
                <xdr:colOff>752475</xdr:colOff>
                <xdr:row>24</xdr:row>
                <xdr:rowOff>142875</xdr:rowOff>
              </to>
            </anchor>
          </controlPr>
        </control>
      </mc:Choice>
      <mc:Fallback>
        <control shapeId="2078" r:id="rId16" name="TextBox9"/>
      </mc:Fallback>
    </mc:AlternateContent>
    <mc:AlternateContent xmlns:mc="http://schemas.openxmlformats.org/markup-compatibility/2006">
      <mc:Choice Requires="x14">
        <control shapeId="2095" r:id="rId17" name="ComboBox5">
          <controlPr defaultSize="0" autoLine="0" listFillRange="TOOL!I5:I19" r:id="rId6">
            <anchor moveWithCells="1">
              <from>
                <xdr:col>0</xdr:col>
                <xdr:colOff>0</xdr:colOff>
                <xdr:row>15</xdr:row>
                <xdr:rowOff>9525</xdr:rowOff>
              </from>
              <to>
                <xdr:col>0</xdr:col>
                <xdr:colOff>552450</xdr:colOff>
                <xdr:row>15</xdr:row>
                <xdr:rowOff>180975</xdr:rowOff>
              </to>
            </anchor>
          </controlPr>
        </control>
      </mc:Choice>
      <mc:Fallback>
        <control shapeId="2095" r:id="rId17" name="ComboBox5"/>
      </mc:Fallback>
    </mc:AlternateContent>
    <mc:AlternateContent xmlns:mc="http://schemas.openxmlformats.org/markup-compatibility/2006">
      <mc:Choice Requires="x14">
        <control shapeId="2096" r:id="rId18" name="ComboBox6">
          <controlPr defaultSize="0" autoLine="0" listFillRange="TOOL!I5:I19" r:id="rId6">
            <anchor moveWithCells="1">
              <from>
                <xdr:col>0</xdr:col>
                <xdr:colOff>0</xdr:colOff>
                <xdr:row>17</xdr:row>
                <xdr:rowOff>9525</xdr:rowOff>
              </from>
              <to>
                <xdr:col>0</xdr:col>
                <xdr:colOff>552450</xdr:colOff>
                <xdr:row>17</xdr:row>
                <xdr:rowOff>180975</xdr:rowOff>
              </to>
            </anchor>
          </controlPr>
        </control>
      </mc:Choice>
      <mc:Fallback>
        <control shapeId="2096" r:id="rId18" name="ComboBox6"/>
      </mc:Fallback>
    </mc:AlternateContent>
    <mc:AlternateContent xmlns:mc="http://schemas.openxmlformats.org/markup-compatibility/2006">
      <mc:Choice Requires="x14">
        <control shapeId="2097" r:id="rId19" name="ComboBox7">
          <controlPr defaultSize="0" autoLine="0" listFillRange="TOOL!I5:I19" r:id="rId6">
            <anchor moveWithCells="1">
              <from>
                <xdr:col>0</xdr:col>
                <xdr:colOff>0</xdr:colOff>
                <xdr:row>19</xdr:row>
                <xdr:rowOff>9525</xdr:rowOff>
              </from>
              <to>
                <xdr:col>0</xdr:col>
                <xdr:colOff>552450</xdr:colOff>
                <xdr:row>19</xdr:row>
                <xdr:rowOff>180975</xdr:rowOff>
              </to>
            </anchor>
          </controlPr>
        </control>
      </mc:Choice>
      <mc:Fallback>
        <control shapeId="2097" r:id="rId19" name="ComboBox7"/>
      </mc:Fallback>
    </mc:AlternateContent>
    <mc:AlternateContent xmlns:mc="http://schemas.openxmlformats.org/markup-compatibility/2006">
      <mc:Choice Requires="x14">
        <control shapeId="2098" r:id="rId20" name="ComboBox8">
          <controlPr defaultSize="0" autoLine="0" listFillRange="TOOL!I5:I19" r:id="rId6">
            <anchor moveWithCells="1">
              <from>
                <xdr:col>0</xdr:col>
                <xdr:colOff>0</xdr:colOff>
                <xdr:row>21</xdr:row>
                <xdr:rowOff>9525</xdr:rowOff>
              </from>
              <to>
                <xdr:col>0</xdr:col>
                <xdr:colOff>552450</xdr:colOff>
                <xdr:row>21</xdr:row>
                <xdr:rowOff>180975</xdr:rowOff>
              </to>
            </anchor>
          </controlPr>
        </control>
      </mc:Choice>
      <mc:Fallback>
        <control shapeId="2098" r:id="rId20" name="ComboBox8"/>
      </mc:Fallback>
    </mc:AlternateContent>
    <mc:AlternateContent xmlns:mc="http://schemas.openxmlformats.org/markup-compatibility/2006">
      <mc:Choice Requires="x14">
        <control shapeId="2099" r:id="rId21" name="ComboBox9">
          <controlPr defaultSize="0" autoLine="0" listFillRange="TOOL!I5:I19" r:id="rId6">
            <anchor moveWithCells="1">
              <from>
                <xdr:col>0</xdr:col>
                <xdr:colOff>0</xdr:colOff>
                <xdr:row>23</xdr:row>
                <xdr:rowOff>9525</xdr:rowOff>
              </from>
              <to>
                <xdr:col>0</xdr:col>
                <xdr:colOff>552450</xdr:colOff>
                <xdr:row>23</xdr:row>
                <xdr:rowOff>180975</xdr:rowOff>
              </to>
            </anchor>
          </controlPr>
        </control>
      </mc:Choice>
      <mc:Fallback>
        <control shapeId="2099" r:id="rId21" name="ComboBox9"/>
      </mc:Fallback>
    </mc:AlternateContent>
    <mc:AlternateContent xmlns:mc="http://schemas.openxmlformats.org/markup-compatibility/2006">
      <mc:Choice Requires="x14">
        <control shapeId="2102" r:id="rId22" name="BASELENS">
          <controlPr defaultSize="0" autoLine="0" r:id="rId8">
            <anchor moveWithCells="1">
              <from>
                <xdr:col>1</xdr:col>
                <xdr:colOff>180975</xdr:colOff>
                <xdr:row>10</xdr:row>
                <xdr:rowOff>57150</xdr:rowOff>
              </from>
              <to>
                <xdr:col>2</xdr:col>
                <xdr:colOff>1104900</xdr:colOff>
                <xdr:row>11</xdr:row>
                <xdr:rowOff>142875</xdr:rowOff>
              </to>
            </anchor>
          </controlPr>
        </control>
      </mc:Choice>
      <mc:Fallback>
        <control shapeId="2102" r:id="rId22" name="BASELENS"/>
      </mc:Fallback>
    </mc:AlternateContent>
    <mc:AlternateContent xmlns:mc="http://schemas.openxmlformats.org/markup-compatibility/2006">
      <mc:Choice Requires="x14">
        <control shapeId="2103" r:id="rId23" name="TextBox1">
          <controlPr defaultSize="0" autoLine="0" r:id="rId8">
            <anchor moveWithCells="1">
              <from>
                <xdr:col>1</xdr:col>
                <xdr:colOff>180975</xdr:colOff>
                <xdr:row>13</xdr:row>
                <xdr:rowOff>57150</xdr:rowOff>
              </from>
              <to>
                <xdr:col>2</xdr:col>
                <xdr:colOff>1104900</xdr:colOff>
                <xdr:row>14</xdr:row>
                <xdr:rowOff>142875</xdr:rowOff>
              </to>
            </anchor>
          </controlPr>
        </control>
      </mc:Choice>
      <mc:Fallback>
        <control shapeId="2103" r:id="rId23" name="TextBox1"/>
      </mc:Fallback>
    </mc:AlternateContent>
    <mc:AlternateContent xmlns:mc="http://schemas.openxmlformats.org/markup-compatibility/2006">
      <mc:Choice Requires="x14">
        <control shapeId="2104" r:id="rId24" name="TextBox2">
          <controlPr defaultSize="0" autoLine="0" r:id="rId8">
            <anchor moveWithCells="1">
              <from>
                <xdr:col>1</xdr:col>
                <xdr:colOff>180975</xdr:colOff>
                <xdr:row>15</xdr:row>
                <xdr:rowOff>57150</xdr:rowOff>
              </from>
              <to>
                <xdr:col>2</xdr:col>
                <xdr:colOff>1104900</xdr:colOff>
                <xdr:row>16</xdr:row>
                <xdr:rowOff>142875</xdr:rowOff>
              </to>
            </anchor>
          </controlPr>
        </control>
      </mc:Choice>
      <mc:Fallback>
        <control shapeId="2104" r:id="rId24" name="TextBox2"/>
      </mc:Fallback>
    </mc:AlternateContent>
    <mc:AlternateContent xmlns:mc="http://schemas.openxmlformats.org/markup-compatibility/2006">
      <mc:Choice Requires="x14">
        <control shapeId="2105" r:id="rId25" name="TextBox3">
          <controlPr defaultSize="0" autoLine="0" r:id="rId8">
            <anchor moveWithCells="1">
              <from>
                <xdr:col>1</xdr:col>
                <xdr:colOff>180975</xdr:colOff>
                <xdr:row>17</xdr:row>
                <xdr:rowOff>57150</xdr:rowOff>
              </from>
              <to>
                <xdr:col>2</xdr:col>
                <xdr:colOff>1104900</xdr:colOff>
                <xdr:row>18</xdr:row>
                <xdr:rowOff>142875</xdr:rowOff>
              </to>
            </anchor>
          </controlPr>
        </control>
      </mc:Choice>
      <mc:Fallback>
        <control shapeId="2105" r:id="rId25" name="TextBox3"/>
      </mc:Fallback>
    </mc:AlternateContent>
    <mc:AlternateContent xmlns:mc="http://schemas.openxmlformats.org/markup-compatibility/2006">
      <mc:Choice Requires="x14">
        <control shapeId="2106" r:id="rId26" name="TextBox10">
          <controlPr defaultSize="0" autoLine="0" r:id="rId8">
            <anchor moveWithCells="1">
              <from>
                <xdr:col>1</xdr:col>
                <xdr:colOff>180975</xdr:colOff>
                <xdr:row>19</xdr:row>
                <xdr:rowOff>57150</xdr:rowOff>
              </from>
              <to>
                <xdr:col>2</xdr:col>
                <xdr:colOff>1104900</xdr:colOff>
                <xdr:row>20</xdr:row>
                <xdr:rowOff>142875</xdr:rowOff>
              </to>
            </anchor>
          </controlPr>
        </control>
      </mc:Choice>
      <mc:Fallback>
        <control shapeId="2106" r:id="rId26" name="TextBox10"/>
      </mc:Fallback>
    </mc:AlternateContent>
    <mc:AlternateContent xmlns:mc="http://schemas.openxmlformats.org/markup-compatibility/2006">
      <mc:Choice Requires="x14">
        <control shapeId="2107" r:id="rId27" name="TextBox11">
          <controlPr defaultSize="0" autoLine="0" r:id="rId8">
            <anchor moveWithCells="1">
              <from>
                <xdr:col>1</xdr:col>
                <xdr:colOff>180975</xdr:colOff>
                <xdr:row>21</xdr:row>
                <xdr:rowOff>57150</xdr:rowOff>
              </from>
              <to>
                <xdr:col>2</xdr:col>
                <xdr:colOff>1104900</xdr:colOff>
                <xdr:row>22</xdr:row>
                <xdr:rowOff>142875</xdr:rowOff>
              </to>
            </anchor>
          </controlPr>
        </control>
      </mc:Choice>
      <mc:Fallback>
        <control shapeId="2107" r:id="rId27" name="TextBox11"/>
      </mc:Fallback>
    </mc:AlternateContent>
    <mc:AlternateContent xmlns:mc="http://schemas.openxmlformats.org/markup-compatibility/2006">
      <mc:Choice Requires="x14">
        <control shapeId="2108" r:id="rId28" name="TextBox12">
          <controlPr defaultSize="0" autoLine="0" r:id="rId8">
            <anchor moveWithCells="1">
              <from>
                <xdr:col>1</xdr:col>
                <xdr:colOff>180975</xdr:colOff>
                <xdr:row>23</xdr:row>
                <xdr:rowOff>57150</xdr:rowOff>
              </from>
              <to>
                <xdr:col>2</xdr:col>
                <xdr:colOff>1104900</xdr:colOff>
                <xdr:row>24</xdr:row>
                <xdr:rowOff>142875</xdr:rowOff>
              </to>
            </anchor>
          </controlPr>
        </control>
      </mc:Choice>
      <mc:Fallback>
        <control shapeId="2108" r:id="rId28" name="TextBox12"/>
      </mc:Fallback>
    </mc:AlternateContent>
    <mc:AlternateContent xmlns:mc="http://schemas.openxmlformats.org/markup-compatibility/2006">
      <mc:Choice Requires="x14">
        <control shapeId="2111" r:id="rId29" name="ORDERNUMBER">
          <controlPr defaultSize="0" autoLine="0" r:id="rId30">
            <anchor moveWithCells="1">
              <from>
                <xdr:col>1</xdr:col>
                <xdr:colOff>180975</xdr:colOff>
                <xdr:row>31</xdr:row>
                <xdr:rowOff>57150</xdr:rowOff>
              </from>
              <to>
                <xdr:col>2</xdr:col>
                <xdr:colOff>1095375</xdr:colOff>
                <xdr:row>32</xdr:row>
                <xdr:rowOff>142875</xdr:rowOff>
              </to>
            </anchor>
          </controlPr>
        </control>
      </mc:Choice>
      <mc:Fallback>
        <control shapeId="2111" r:id="rId29" name="ORDERNUMBER"/>
      </mc:Fallback>
    </mc:AlternateContent>
    <mc:AlternateContent xmlns:mc="http://schemas.openxmlformats.org/markup-compatibility/2006">
      <mc:Choice Requires="x14">
        <control shapeId="2112" r:id="rId31" name="CLEAR">
          <controlPr defaultSize="0" autoLine="0" r:id="rId32">
            <anchor moveWithCells="1">
              <from>
                <xdr:col>1</xdr:col>
                <xdr:colOff>238125</xdr:colOff>
                <xdr:row>34</xdr:row>
                <xdr:rowOff>57150</xdr:rowOff>
              </from>
              <to>
                <xdr:col>2</xdr:col>
                <xdr:colOff>1028700</xdr:colOff>
                <xdr:row>35</xdr:row>
                <xdr:rowOff>142875</xdr:rowOff>
              </to>
            </anchor>
          </controlPr>
        </control>
      </mc:Choice>
      <mc:Fallback>
        <control shapeId="2112" r:id="rId31" name="CLEAR"/>
      </mc:Fallback>
    </mc:AlternateContent>
    <mc:AlternateContent xmlns:mc="http://schemas.openxmlformats.org/markup-compatibility/2006">
      <mc:Choice Requires="x14">
        <control shapeId="2113" r:id="rId33" name="CASENOTE">
          <controlPr defaultSize="0" autoLine="0" r:id="rId34">
            <anchor moveWithCells="1">
              <from>
                <xdr:col>3</xdr:col>
                <xdr:colOff>238125</xdr:colOff>
                <xdr:row>31</xdr:row>
                <xdr:rowOff>57150</xdr:rowOff>
              </from>
              <to>
                <xdr:col>4</xdr:col>
                <xdr:colOff>676275</xdr:colOff>
                <xdr:row>32</xdr:row>
                <xdr:rowOff>142875</xdr:rowOff>
              </to>
            </anchor>
          </controlPr>
        </control>
      </mc:Choice>
      <mc:Fallback>
        <control shapeId="2113" r:id="rId33" name="CASENOTE"/>
      </mc:Fallback>
    </mc:AlternateContent>
    <mc:AlternateContent xmlns:mc="http://schemas.openxmlformats.org/markup-compatibility/2006">
      <mc:Choice Requires="x14">
        <control shapeId="2117" r:id="rId35" name="TextBox13">
          <controlPr defaultSize="0" autoLine="0" r:id="rId8">
            <anchor moveWithCells="1">
              <from>
                <xdr:col>1</xdr:col>
                <xdr:colOff>171450</xdr:colOff>
                <xdr:row>41</xdr:row>
                <xdr:rowOff>38100</xdr:rowOff>
              </from>
              <to>
                <xdr:col>2</xdr:col>
                <xdr:colOff>1095375</xdr:colOff>
                <xdr:row>42</xdr:row>
                <xdr:rowOff>123825</xdr:rowOff>
              </to>
            </anchor>
          </controlPr>
        </control>
      </mc:Choice>
      <mc:Fallback>
        <control shapeId="2117" r:id="rId35" name="TextBox13"/>
      </mc:Fallback>
    </mc:AlternateContent>
    <mc:AlternateContent xmlns:mc="http://schemas.openxmlformats.org/markup-compatibility/2006">
      <mc:Choice Requires="x14">
        <control shapeId="2118" r:id="rId36" name="TextBox14">
          <controlPr defaultSize="0" autoLine="0" r:id="rId8">
            <anchor moveWithCells="1">
              <from>
                <xdr:col>1</xdr:col>
                <xdr:colOff>171450</xdr:colOff>
                <xdr:row>43</xdr:row>
                <xdr:rowOff>57150</xdr:rowOff>
              </from>
              <to>
                <xdr:col>2</xdr:col>
                <xdr:colOff>1095375</xdr:colOff>
                <xdr:row>44</xdr:row>
                <xdr:rowOff>142875</xdr:rowOff>
              </to>
            </anchor>
          </controlPr>
        </control>
      </mc:Choice>
      <mc:Fallback>
        <control shapeId="2118" r:id="rId36" name="TextBox14"/>
      </mc:Fallback>
    </mc:AlternateContent>
    <mc:AlternateContent xmlns:mc="http://schemas.openxmlformats.org/markup-compatibility/2006">
      <mc:Choice Requires="x14">
        <control shapeId="2119" r:id="rId37" name="TextBox15">
          <controlPr defaultSize="0" autoLine="0" r:id="rId8">
            <anchor moveWithCells="1">
              <from>
                <xdr:col>1</xdr:col>
                <xdr:colOff>171450</xdr:colOff>
                <xdr:row>49</xdr:row>
                <xdr:rowOff>57150</xdr:rowOff>
              </from>
              <to>
                <xdr:col>2</xdr:col>
                <xdr:colOff>1095375</xdr:colOff>
                <xdr:row>50</xdr:row>
                <xdr:rowOff>142875</xdr:rowOff>
              </to>
            </anchor>
          </controlPr>
        </control>
      </mc:Choice>
      <mc:Fallback>
        <control shapeId="2119" r:id="rId37" name="TextBox15"/>
      </mc:Fallback>
    </mc:AlternateContent>
    <mc:AlternateContent xmlns:mc="http://schemas.openxmlformats.org/markup-compatibility/2006">
      <mc:Choice Requires="x14">
        <control shapeId="2100" r:id="rId38" name="Check Box 52">
          <controlPr defaultSize="0" autoFill="0" autoLine="0" autoPict="0" macro="[0]!CheckBox52_Click">
            <anchor moveWithCells="1">
              <from>
                <xdr:col>1</xdr:col>
                <xdr:colOff>28575</xdr:colOff>
                <xdr:row>4</xdr:row>
                <xdr:rowOff>19050</xdr:rowOff>
              </from>
              <to>
                <xdr:col>2</xdr:col>
                <xdr:colOff>952500</xdr:colOff>
                <xdr:row>5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01" r:id="rId39" name="Check Box 53">
          <controlPr defaultSize="0" autoFill="0" autoLine="0" autoPict="0" macro="[0]!CheckBox52_Click">
            <anchor moveWithCells="1">
              <from>
                <xdr:col>3</xdr:col>
                <xdr:colOff>28575</xdr:colOff>
                <xdr:row>4</xdr:row>
                <xdr:rowOff>19050</xdr:rowOff>
              </from>
              <to>
                <xdr:col>4</xdr:col>
                <xdr:colOff>600075</xdr:colOff>
                <xdr:row>5</xdr:row>
                <xdr:rowOff>171450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43A-D244-4F5A-8416-F7CD50BFA2D5}">
  <sheetPr codeName="Sheet1"/>
  <dimension ref="A1:X56"/>
  <sheetViews>
    <sheetView showGridLines="0" topLeftCell="B1" zoomScale="85" zoomScaleNormal="85" workbookViewId="0">
      <selection activeCell="B49" sqref="B49"/>
    </sheetView>
  </sheetViews>
  <sheetFormatPr defaultColWidth="10.7109375" defaultRowHeight="15" x14ac:dyDescent="0.25"/>
  <cols>
    <col min="1" max="1" width="10.7109375" style="1" hidden="1" customWidth="1"/>
    <col min="2" max="2" width="18.7109375" style="1" bestFit="1" customWidth="1"/>
    <col min="3" max="3" width="22.5703125" style="1" customWidth="1"/>
    <col min="4" max="4" width="24.42578125" style="1" bestFit="1" customWidth="1"/>
    <col min="5" max="5" width="19.28515625" style="1" bestFit="1" customWidth="1"/>
    <col min="6" max="6" width="13.42578125" style="1" customWidth="1"/>
    <col min="7" max="8" width="10.7109375" style="1" hidden="1" customWidth="1"/>
    <col min="9" max="12" width="10.7109375" style="1"/>
    <col min="13" max="13" width="16.7109375" style="1" bestFit="1" customWidth="1"/>
    <col min="14" max="14" width="15" style="1" bestFit="1" customWidth="1"/>
    <col min="15" max="15" width="16.7109375" style="1" bestFit="1" customWidth="1"/>
    <col min="16" max="16" width="15" style="1" bestFit="1" customWidth="1"/>
    <col min="17" max="18" width="10.7109375" style="1" hidden="1" customWidth="1"/>
    <col min="19" max="20" width="10.7109375" style="1" customWidth="1"/>
    <col min="21" max="16384" width="10.7109375" style="1"/>
  </cols>
  <sheetData>
    <row r="1" spans="1:24" ht="15.95" customHeight="1" x14ac:dyDescent="0.25">
      <c r="A1" s="174" t="s">
        <v>57</v>
      </c>
      <c r="B1" s="174"/>
      <c r="C1" s="174"/>
      <c r="D1" s="174"/>
      <c r="E1" s="174"/>
      <c r="F1" s="12"/>
      <c r="G1" s="6"/>
      <c r="H1" s="13"/>
      <c r="I1" s="13"/>
      <c r="J1" s="13"/>
      <c r="K1" s="13"/>
      <c r="L1" s="13"/>
      <c r="M1" s="13"/>
      <c r="N1" s="14"/>
      <c r="O1" s="14"/>
      <c r="P1" s="14"/>
      <c r="Q1" s="14"/>
      <c r="R1" s="15"/>
      <c r="S1" s="16" t="s">
        <v>36</v>
      </c>
      <c r="T1" s="16" t="s">
        <v>37</v>
      </c>
      <c r="U1" s="16" t="s">
        <v>43</v>
      </c>
      <c r="V1" s="16" t="s">
        <v>44</v>
      </c>
      <c r="W1" s="17"/>
      <c r="X1" s="18"/>
    </row>
    <row r="2" spans="1:24" ht="15.95" customHeight="1" x14ac:dyDescent="0.25">
      <c r="A2" s="11"/>
      <c r="B2" s="19"/>
      <c r="C2" s="175"/>
      <c r="D2" s="175"/>
      <c r="E2" s="82"/>
      <c r="F2" s="83" t="str">
        <f>IF(C9=34, "SV",IF(C9=49,"PAL","NAH"))</f>
        <v>NAH</v>
      </c>
      <c r="G2" s="20"/>
      <c r="H2" s="21"/>
      <c r="I2" s="176" t="s">
        <v>40</v>
      </c>
      <c r="J2" s="176"/>
      <c r="K2" s="176"/>
      <c r="L2" s="176"/>
      <c r="M2" s="176" t="s">
        <v>43</v>
      </c>
      <c r="N2" s="176"/>
      <c r="O2" s="176" t="s">
        <v>44</v>
      </c>
      <c r="P2" s="176"/>
      <c r="Q2" s="22"/>
      <c r="R2" s="20"/>
      <c r="S2" s="17">
        <f>C9*IF(F4,0.9,1)*IF(F5,0.8,1)*IF(F6,0.85,1)</f>
        <v>0</v>
      </c>
      <c r="T2" s="17">
        <f>D9</f>
        <v>0</v>
      </c>
      <c r="U2" s="17">
        <f>T2</f>
        <v>0</v>
      </c>
      <c r="V2" s="17">
        <f>T2</f>
        <v>0</v>
      </c>
      <c r="W2" s="17"/>
      <c r="X2" s="18"/>
    </row>
    <row r="3" spans="1:24" ht="15.95" customHeight="1" x14ac:dyDescent="0.25">
      <c r="A3" s="23"/>
      <c r="B3" s="24" t="s">
        <v>54</v>
      </c>
      <c r="C3" s="8"/>
      <c r="D3" s="8"/>
      <c r="E3" s="82"/>
      <c r="F3" s="83" t="str">
        <f>IF(C3="SIGNATURE",2,IF(C3="CHOICE",1,""))</f>
        <v/>
      </c>
      <c r="G3" s="20"/>
      <c r="H3" s="21"/>
      <c r="I3" s="176"/>
      <c r="J3" s="176"/>
      <c r="K3" s="176"/>
      <c r="L3" s="176"/>
      <c r="M3" s="176"/>
      <c r="N3" s="176"/>
      <c r="O3" s="176"/>
      <c r="P3" s="176"/>
      <c r="Q3" s="22"/>
      <c r="R3" s="20"/>
      <c r="S3" s="17">
        <f>C12*IF(F4,0.9,1)*IF(F5,0.8,1)*IF(F6,0.85,1)</f>
        <v>0</v>
      </c>
      <c r="T3" s="17">
        <f>D12</f>
        <v>0</v>
      </c>
      <c r="U3" s="17">
        <f>IF(F5,IF(S3&lt;=T3,S3,T3),IF(S3&lt;=T3,S3*0.8,T3))</f>
        <v>0</v>
      </c>
      <c r="V3" s="17">
        <f t="shared" ref="V3:V8" si="0">IF(S3&lt;=T3,S3,T3)</f>
        <v>0</v>
      </c>
      <c r="W3" s="17"/>
      <c r="X3" s="18"/>
    </row>
    <row r="4" spans="1:24" ht="15.95" customHeight="1" x14ac:dyDescent="0.25">
      <c r="A4" s="23"/>
      <c r="B4" s="24" t="s">
        <v>5</v>
      </c>
      <c r="C4" s="8" t="b">
        <v>0</v>
      </c>
      <c r="D4" s="8" t="b">
        <v>0</v>
      </c>
      <c r="E4" s="84"/>
      <c r="F4" s="83" t="b">
        <f>C4</f>
        <v>0</v>
      </c>
      <c r="G4" s="20"/>
      <c r="H4" s="21"/>
      <c r="I4" s="25" t="s">
        <v>6</v>
      </c>
      <c r="J4" s="177" t="s">
        <v>7</v>
      </c>
      <c r="K4" s="177"/>
      <c r="L4" s="177"/>
      <c r="M4" s="26" t="s">
        <v>59</v>
      </c>
      <c r="N4" s="26" t="s">
        <v>60</v>
      </c>
      <c r="O4" s="26" t="s">
        <v>59</v>
      </c>
      <c r="P4" s="26" t="s">
        <v>60</v>
      </c>
      <c r="Q4" s="27"/>
      <c r="R4" s="20"/>
      <c r="S4" s="17">
        <f>C13*IF(F4,0.9,1)*IF(F5,0.8,1)*IF(F6,0.85,1)</f>
        <v>0</v>
      </c>
      <c r="T4" s="17">
        <f>D13</f>
        <v>0</v>
      </c>
      <c r="U4" s="17">
        <f>IF(F5,IF(S4&lt;=T4,S4,T4),IF(S4&lt;=T4,S4*0.8,T4))</f>
        <v>0</v>
      </c>
      <c r="V4" s="17">
        <f t="shared" si="0"/>
        <v>0</v>
      </c>
      <c r="W4" s="17"/>
      <c r="X4" s="18"/>
    </row>
    <row r="5" spans="1:24" ht="15.95" customHeight="1" thickBot="1" x14ac:dyDescent="0.3">
      <c r="A5" s="11"/>
      <c r="B5" s="28"/>
      <c r="C5" s="29" t="s">
        <v>53</v>
      </c>
      <c r="D5" s="29" t="s">
        <v>0</v>
      </c>
      <c r="E5" s="30"/>
      <c r="F5" s="83" t="b">
        <f>D4</f>
        <v>0</v>
      </c>
      <c r="G5" s="20"/>
      <c r="H5" s="31">
        <f>COUNTIF(B12:B17,"AD")</f>
        <v>0</v>
      </c>
      <c r="I5" s="32" t="s">
        <v>8</v>
      </c>
      <c r="J5" s="172" t="s">
        <v>9</v>
      </c>
      <c r="K5" s="172"/>
      <c r="L5" s="172"/>
      <c r="M5" s="88">
        <v>31</v>
      </c>
      <c r="N5" s="88">
        <v>35</v>
      </c>
      <c r="O5" s="88">
        <v>23</v>
      </c>
      <c r="P5" s="88">
        <v>28</v>
      </c>
      <c r="Q5" s="34"/>
      <c r="R5" s="20"/>
      <c r="S5" s="17">
        <f>C14*IF(F4,0.9,1)*IF(F5,0.8,1)*IF(F6,0.85,1)</f>
        <v>0</v>
      </c>
      <c r="T5" s="17">
        <f t="shared" ref="T5:T8" si="1">D14</f>
        <v>0</v>
      </c>
      <c r="U5" s="17">
        <f>IF(F5,IF(S5&lt;=T5,S5,T5),IF(S5&lt;=T5,S5*0.8,T5))</f>
        <v>0</v>
      </c>
      <c r="V5" s="17">
        <f t="shared" si="0"/>
        <v>0</v>
      </c>
      <c r="W5" s="17"/>
      <c r="X5" s="18"/>
    </row>
    <row r="6" spans="1:24" ht="15.95" customHeight="1" thickBot="1" x14ac:dyDescent="0.3">
      <c r="A6" s="11"/>
      <c r="B6" s="9" t="s">
        <v>1</v>
      </c>
      <c r="C6" s="114"/>
      <c r="D6" s="114"/>
      <c r="E6" s="85">
        <f>W11</f>
        <v>0</v>
      </c>
      <c r="F6" s="83" t="b">
        <v>0</v>
      </c>
      <c r="G6" s="20"/>
      <c r="H6" s="31">
        <f>COUNTIF(B12:B17,"AB")</f>
        <v>0</v>
      </c>
      <c r="I6" s="32" t="s">
        <v>10</v>
      </c>
      <c r="J6" s="172" t="s">
        <v>11</v>
      </c>
      <c r="K6" s="172"/>
      <c r="L6" s="172"/>
      <c r="M6" s="33" t="s">
        <v>12</v>
      </c>
      <c r="N6" s="33" t="s">
        <v>12</v>
      </c>
      <c r="O6" s="88">
        <v>51</v>
      </c>
      <c r="P6" s="88">
        <v>55</v>
      </c>
      <c r="Q6" s="34"/>
      <c r="R6" s="20"/>
      <c r="S6" s="17">
        <f>C15*IF(F4,0.9,1)*IF(F5,0.8,1)*IF(F6,0.85,1)</f>
        <v>0</v>
      </c>
      <c r="T6" s="17">
        <f t="shared" si="1"/>
        <v>0</v>
      </c>
      <c r="U6" s="17">
        <f>IF(F5,IF(S6&lt;=T6,S6,T6),IF(S6&lt;=T6,S6*0.8,T6))</f>
        <v>0</v>
      </c>
      <c r="V6" s="17">
        <f t="shared" si="0"/>
        <v>0</v>
      </c>
      <c r="W6" s="17"/>
      <c r="X6" s="18"/>
    </row>
    <row r="7" spans="1:24" ht="15.95" customHeight="1" x14ac:dyDescent="0.25">
      <c r="A7" s="11"/>
      <c r="B7" s="11"/>
      <c r="C7" s="11"/>
      <c r="D7" s="11"/>
      <c r="E7" s="82"/>
      <c r="F7" s="83"/>
      <c r="G7" s="20"/>
      <c r="H7" s="31">
        <f>COUNTIF(B12:B17,"AH")</f>
        <v>0</v>
      </c>
      <c r="I7" s="32" t="s">
        <v>13</v>
      </c>
      <c r="J7" s="172" t="s">
        <v>14</v>
      </c>
      <c r="K7" s="172"/>
      <c r="L7" s="172"/>
      <c r="M7" s="33" t="s">
        <v>12</v>
      </c>
      <c r="N7" s="33" t="s">
        <v>12</v>
      </c>
      <c r="O7" s="88">
        <v>76</v>
      </c>
      <c r="P7" s="88">
        <v>90</v>
      </c>
      <c r="Q7" s="34"/>
      <c r="R7" s="20"/>
      <c r="S7" s="17">
        <f>C16*IF(F4,0.9,1)*IF(F5,0.8,1)*IF(F6,0.85,1)</f>
        <v>0</v>
      </c>
      <c r="T7" s="17">
        <f t="shared" si="1"/>
        <v>0</v>
      </c>
      <c r="U7" s="17">
        <f>IF(F5,IF(S7&lt;=T7,S7,T7),IF(S7&lt;=T7,S7*0.8,T7))</f>
        <v>0</v>
      </c>
      <c r="V7" s="17">
        <f t="shared" si="0"/>
        <v>0</v>
      </c>
      <c r="W7" s="17"/>
      <c r="X7" s="18"/>
    </row>
    <row r="8" spans="1:24" ht="15.95" customHeight="1" thickBot="1" x14ac:dyDescent="0.3">
      <c r="A8" s="11"/>
      <c r="B8" s="28"/>
      <c r="C8" s="29" t="s">
        <v>53</v>
      </c>
      <c r="D8" s="29" t="s">
        <v>64</v>
      </c>
      <c r="E8" s="30"/>
      <c r="F8" s="83"/>
      <c r="G8" s="20"/>
      <c r="H8" s="31">
        <f>COUNTIF(B12:B17,"BV")</f>
        <v>0</v>
      </c>
      <c r="I8" s="32" t="s">
        <v>15</v>
      </c>
      <c r="J8" s="172" t="s">
        <v>16</v>
      </c>
      <c r="K8" s="172"/>
      <c r="L8" s="172"/>
      <c r="M8" s="88">
        <v>10</v>
      </c>
      <c r="N8" s="88">
        <v>10</v>
      </c>
      <c r="O8" s="88">
        <v>10</v>
      </c>
      <c r="P8" s="88">
        <v>10</v>
      </c>
      <c r="Q8" s="34"/>
      <c r="R8" s="20"/>
      <c r="S8" s="17">
        <f>C17*IF(F4,0.9,1)*IF(F5,0.8,1)*IF(F6,0.85,1)</f>
        <v>0</v>
      </c>
      <c r="T8" s="17">
        <f t="shared" si="1"/>
        <v>0</v>
      </c>
      <c r="U8" s="17">
        <f>IF(F5,IF(S8&lt;=T8,S8,T8),IF(S8&lt;=T8,S8*0.8,T8))</f>
        <v>0</v>
      </c>
      <c r="V8" s="17">
        <f t="shared" si="0"/>
        <v>0</v>
      </c>
      <c r="W8" s="17"/>
      <c r="X8" s="18"/>
    </row>
    <row r="9" spans="1:24" ht="15.95" customHeight="1" thickBot="1" x14ac:dyDescent="0.3">
      <c r="A9" s="11"/>
      <c r="B9" s="9" t="str">
        <f>IF(C9=34,"SINGLE VISION",IF(C9=49,"PROGRESSIVE","BASE LENS"))</f>
        <v>BASE LENS</v>
      </c>
      <c r="C9" s="114"/>
      <c r="D9" s="114"/>
      <c r="E9" s="85">
        <f>S2-T2</f>
        <v>0</v>
      </c>
      <c r="F9" s="83"/>
      <c r="G9" s="20"/>
      <c r="H9" s="31">
        <f>COUNTIF(B12:B17,"PP")</f>
        <v>0</v>
      </c>
      <c r="I9" s="32" t="s">
        <v>17</v>
      </c>
      <c r="J9" s="172" t="s">
        <v>18</v>
      </c>
      <c r="K9" s="172"/>
      <c r="L9" s="172"/>
      <c r="M9" s="88">
        <v>70</v>
      </c>
      <c r="N9" s="88">
        <v>82</v>
      </c>
      <c r="O9" s="88">
        <v>62</v>
      </c>
      <c r="P9" s="88">
        <v>76</v>
      </c>
      <c r="Q9" s="34"/>
      <c r="R9" s="20"/>
      <c r="S9" s="35" t="s">
        <v>47</v>
      </c>
      <c r="T9" s="36" t="s">
        <v>42</v>
      </c>
      <c r="U9" s="17">
        <f>SUM(U2:U8)</f>
        <v>0</v>
      </c>
      <c r="V9" s="17">
        <f>SUM(V2:V8)</f>
        <v>0</v>
      </c>
      <c r="W9" s="17"/>
      <c r="X9" s="18"/>
    </row>
    <row r="10" spans="1:24" ht="15.95" customHeight="1" x14ac:dyDescent="0.25">
      <c r="A10" s="11"/>
      <c r="B10" s="23"/>
      <c r="C10" s="23"/>
      <c r="D10" s="23"/>
      <c r="E10" s="82"/>
      <c r="F10" s="83"/>
      <c r="G10" s="20"/>
      <c r="H10" s="31">
        <f>COUNTIF(B12:B17,"QN")</f>
        <v>0</v>
      </c>
      <c r="I10" s="32" t="s">
        <v>19</v>
      </c>
      <c r="J10" s="172" t="s">
        <v>20</v>
      </c>
      <c r="K10" s="172"/>
      <c r="L10" s="172"/>
      <c r="M10" s="88">
        <v>58</v>
      </c>
      <c r="N10" s="88">
        <v>58</v>
      </c>
      <c r="O10" s="88">
        <v>51</v>
      </c>
      <c r="P10" s="88">
        <v>51</v>
      </c>
      <c r="Q10" s="34"/>
      <c r="R10" s="20"/>
      <c r="S10" s="16" t="s">
        <v>36</v>
      </c>
      <c r="T10" s="16" t="s">
        <v>45</v>
      </c>
      <c r="U10" s="16" t="s">
        <v>46</v>
      </c>
      <c r="V10" s="16" t="s">
        <v>5</v>
      </c>
      <c r="W10" s="16" t="s">
        <v>39</v>
      </c>
      <c r="X10" s="18"/>
    </row>
    <row r="11" spans="1:24" ht="15.95" customHeight="1" thickBot="1" x14ac:dyDescent="0.3">
      <c r="A11" s="11"/>
      <c r="B11" s="37"/>
      <c r="C11" s="29" t="s">
        <v>53</v>
      </c>
      <c r="D11" s="29" t="s">
        <v>65</v>
      </c>
      <c r="E11" s="29"/>
      <c r="F11" s="83"/>
      <c r="G11" s="20"/>
      <c r="H11" s="31">
        <f>COUNTIF(B12:B17,"QV")</f>
        <v>0</v>
      </c>
      <c r="I11" s="32" t="s">
        <v>21</v>
      </c>
      <c r="J11" s="172" t="s">
        <v>22</v>
      </c>
      <c r="K11" s="172"/>
      <c r="L11" s="172"/>
      <c r="M11" s="88">
        <v>85</v>
      </c>
      <c r="N11" s="88">
        <v>85</v>
      </c>
      <c r="O11" s="88">
        <v>75</v>
      </c>
      <c r="P11" s="88">
        <v>75</v>
      </c>
      <c r="Q11" s="34"/>
      <c r="R11" s="20"/>
      <c r="S11" s="17">
        <f>C6*IF(F4,0.9,1)*IF(F5,0.8,1)*IF(F6,0.85,1)</f>
        <v>0</v>
      </c>
      <c r="T11" s="17">
        <f>D6</f>
        <v>0</v>
      </c>
      <c r="U11" s="17">
        <f>IF(S11&gt;T11,S11-T11,0)*0.8</f>
        <v>0</v>
      </c>
      <c r="V11" s="38">
        <f>C38+C34</f>
        <v>0</v>
      </c>
      <c r="W11" s="38">
        <f>(S11-U11)-V11</f>
        <v>0</v>
      </c>
      <c r="X11" s="18"/>
    </row>
    <row r="12" spans="1:24" ht="15.95" customHeight="1" thickBot="1" x14ac:dyDescent="0.3">
      <c r="A12" s="11"/>
      <c r="B12" s="9">
        <f>RATF!A15</f>
        <v>0</v>
      </c>
      <c r="C12" s="114"/>
      <c r="D12" s="114"/>
      <c r="E12" s="85">
        <f>IF(F3=1,S3-U3,S3-V3)</f>
        <v>0</v>
      </c>
      <c r="F12" s="83"/>
      <c r="G12" s="20"/>
      <c r="H12" s="31">
        <f>COUNTIF(B12:B17,"DA")</f>
        <v>0</v>
      </c>
      <c r="I12" s="32" t="s">
        <v>23</v>
      </c>
      <c r="J12" s="172" t="s">
        <v>24</v>
      </c>
      <c r="K12" s="172"/>
      <c r="L12" s="172"/>
      <c r="M12" s="33" t="s">
        <v>12</v>
      </c>
      <c r="N12" s="33" t="s">
        <v>12</v>
      </c>
      <c r="O12" s="88">
        <v>53</v>
      </c>
      <c r="P12" s="89">
        <v>71</v>
      </c>
      <c r="Q12" s="40"/>
      <c r="R12" s="20"/>
      <c r="S12" s="170" t="s">
        <v>56</v>
      </c>
      <c r="T12" s="170"/>
      <c r="U12" s="170"/>
      <c r="V12" s="170"/>
      <c r="W12" s="17"/>
      <c r="X12" s="18"/>
    </row>
    <row r="13" spans="1:24" ht="15.95" customHeight="1" thickBot="1" x14ac:dyDescent="0.3">
      <c r="A13" s="11"/>
      <c r="B13" s="9">
        <f>RATF!A17</f>
        <v>0</v>
      </c>
      <c r="C13" s="114"/>
      <c r="D13" s="114"/>
      <c r="E13" s="85">
        <f>IF(F3=1,S4-U4,S4-V4)</f>
        <v>0</v>
      </c>
      <c r="F13" s="83"/>
      <c r="G13" s="20"/>
      <c r="H13" s="31">
        <f>COUNTIF(B12:B17,"DD")</f>
        <v>0</v>
      </c>
      <c r="I13" s="32" t="s">
        <v>25</v>
      </c>
      <c r="J13" s="172" t="s">
        <v>9</v>
      </c>
      <c r="K13" s="172"/>
      <c r="L13" s="172"/>
      <c r="M13" s="33" t="s">
        <v>12</v>
      </c>
      <c r="N13" s="33" t="s">
        <v>12</v>
      </c>
      <c r="O13" s="88">
        <v>27</v>
      </c>
      <c r="P13" s="89">
        <v>27</v>
      </c>
      <c r="Q13" s="40"/>
      <c r="R13" s="20"/>
      <c r="S13" s="41"/>
      <c r="T13" s="41"/>
      <c r="U13" s="41"/>
      <c r="V13" s="41"/>
      <c r="W13" s="17"/>
      <c r="X13" s="18"/>
    </row>
    <row r="14" spans="1:24" ht="15.95" customHeight="1" thickBot="1" x14ac:dyDescent="0.3">
      <c r="A14" s="11"/>
      <c r="B14" s="9">
        <f>RATF!A19</f>
        <v>0</v>
      </c>
      <c r="C14" s="114"/>
      <c r="D14" s="114"/>
      <c r="E14" s="85">
        <f>IF(F3=1,S5-U5,S5-V5)</f>
        <v>0</v>
      </c>
      <c r="F14" s="83"/>
      <c r="G14" s="20"/>
      <c r="H14" s="31">
        <f>COUNTIF(B12:B17,"DH")</f>
        <v>0</v>
      </c>
      <c r="I14" s="32" t="s">
        <v>26</v>
      </c>
      <c r="J14" s="172" t="s">
        <v>14</v>
      </c>
      <c r="K14" s="172"/>
      <c r="L14" s="172"/>
      <c r="M14" s="33" t="s">
        <v>12</v>
      </c>
      <c r="N14" s="33" t="s">
        <v>12</v>
      </c>
      <c r="O14" s="88">
        <v>82</v>
      </c>
      <c r="P14" s="39" t="s">
        <v>27</v>
      </c>
      <c r="Q14" s="40"/>
      <c r="R14" s="20"/>
      <c r="S14" s="41"/>
      <c r="T14" s="41"/>
      <c r="U14" s="41"/>
      <c r="V14" s="41"/>
      <c r="W14" s="17"/>
      <c r="X14" s="18"/>
    </row>
    <row r="15" spans="1:24" ht="15.95" customHeight="1" thickBot="1" x14ac:dyDescent="0.3">
      <c r="A15" s="11"/>
      <c r="B15" s="9">
        <f>RATF!A21</f>
        <v>0</v>
      </c>
      <c r="C15" s="3"/>
      <c r="D15" s="3"/>
      <c r="E15" s="85">
        <f>IF(F3=1,S6-U6,S6-V6)</f>
        <v>0</v>
      </c>
      <c r="F15" s="83"/>
      <c r="G15" s="20"/>
      <c r="H15" s="31">
        <f>COUNTIF(B12:B17,"KA")</f>
        <v>0</v>
      </c>
      <c r="I15" s="32" t="s">
        <v>28</v>
      </c>
      <c r="J15" s="172" t="s">
        <v>29</v>
      </c>
      <c r="K15" s="172"/>
      <c r="L15" s="172"/>
      <c r="M15" s="171">
        <v>55</v>
      </c>
      <c r="N15" s="171"/>
      <c r="O15" s="171">
        <v>50</v>
      </c>
      <c r="P15" s="171"/>
      <c r="Q15" s="34"/>
      <c r="R15" s="20"/>
      <c r="S15" s="17"/>
      <c r="T15" s="17"/>
      <c r="U15" s="17"/>
      <c r="V15" s="42" t="s">
        <v>52</v>
      </c>
      <c r="W15" s="17"/>
      <c r="X15" s="18"/>
    </row>
    <row r="16" spans="1:24" ht="15.95" customHeight="1" thickBot="1" x14ac:dyDescent="0.3">
      <c r="A16" s="11"/>
      <c r="B16" s="9">
        <f>RATF!A23</f>
        <v>0</v>
      </c>
      <c r="C16" s="3"/>
      <c r="D16" s="3"/>
      <c r="E16" s="85">
        <f>IF(F3=1,S7-U7,S7-V7)</f>
        <v>0</v>
      </c>
      <c r="F16" s="83"/>
      <c r="G16" s="20"/>
      <c r="H16" s="31">
        <f>COUNTIF(B12:B17,"KD")</f>
        <v>0</v>
      </c>
      <c r="I16" s="32" t="s">
        <v>30</v>
      </c>
      <c r="J16" s="172" t="s">
        <v>9</v>
      </c>
      <c r="K16" s="172"/>
      <c r="L16" s="172"/>
      <c r="M16" s="171">
        <v>35</v>
      </c>
      <c r="N16" s="171"/>
      <c r="O16" s="171">
        <v>30</v>
      </c>
      <c r="P16" s="171"/>
      <c r="Q16" s="34"/>
      <c r="R16" s="20"/>
      <c r="S16" s="41"/>
      <c r="T16" s="41"/>
      <c r="U16" s="41"/>
      <c r="V16" s="42">
        <f>SUM(E9:E17)</f>
        <v>0</v>
      </c>
      <c r="W16" s="17"/>
      <c r="X16" s="18"/>
    </row>
    <row r="17" spans="1:24" ht="15.95" customHeight="1" thickBot="1" x14ac:dyDescent="0.3">
      <c r="A17" s="11"/>
      <c r="B17" s="9">
        <f>RATF!A25</f>
        <v>0</v>
      </c>
      <c r="C17" s="3"/>
      <c r="D17" s="3"/>
      <c r="E17" s="85">
        <f>IF(F3=1,S8-U8,S8-V8)</f>
        <v>0</v>
      </c>
      <c r="F17" s="83"/>
      <c r="G17" s="20"/>
      <c r="H17" s="31">
        <f>COUNTIF(B12:B17,"KB")</f>
        <v>0</v>
      </c>
      <c r="I17" s="32" t="s">
        <v>31</v>
      </c>
      <c r="J17" s="172" t="s">
        <v>11</v>
      </c>
      <c r="K17" s="172"/>
      <c r="L17" s="172"/>
      <c r="M17" s="173" t="s">
        <v>12</v>
      </c>
      <c r="N17" s="173"/>
      <c r="O17" s="171">
        <v>42</v>
      </c>
      <c r="P17" s="171"/>
      <c r="Q17" s="34"/>
      <c r="R17" s="20"/>
      <c r="S17" s="41"/>
      <c r="T17" s="41"/>
      <c r="U17" s="41"/>
      <c r="V17" s="41"/>
      <c r="W17" s="17"/>
      <c r="X17" s="18"/>
    </row>
    <row r="18" spans="1:24" ht="15.95" customHeight="1" x14ac:dyDescent="0.25">
      <c r="A18" s="23"/>
      <c r="B18" s="23"/>
      <c r="C18" s="23"/>
      <c r="D18" s="23"/>
      <c r="E18" s="82"/>
      <c r="F18" s="86"/>
      <c r="G18" s="20"/>
      <c r="H18" s="31">
        <f>COUNTIF(B12:B17,"KH")</f>
        <v>0</v>
      </c>
      <c r="I18" s="32" t="s">
        <v>32</v>
      </c>
      <c r="J18" s="172" t="s">
        <v>14</v>
      </c>
      <c r="K18" s="172"/>
      <c r="L18" s="172"/>
      <c r="M18" s="173" t="s">
        <v>12</v>
      </c>
      <c r="N18" s="173"/>
      <c r="O18" s="171">
        <v>72</v>
      </c>
      <c r="P18" s="171"/>
      <c r="Q18" s="34"/>
      <c r="R18" s="20"/>
      <c r="S18" s="41"/>
      <c r="T18" s="41"/>
      <c r="U18" s="41"/>
      <c r="V18" s="41"/>
      <c r="W18" s="17"/>
      <c r="X18" s="18"/>
    </row>
    <row r="19" spans="1:24" x14ac:dyDescent="0.25">
      <c r="A19" s="23"/>
      <c r="B19" s="13"/>
      <c r="C19" s="29" t="s">
        <v>61</v>
      </c>
      <c r="D19" s="29" t="s">
        <v>58</v>
      </c>
      <c r="E19" s="29" t="s">
        <v>2</v>
      </c>
      <c r="F19" s="43"/>
      <c r="G19" s="20"/>
      <c r="H19" s="31">
        <f>COUNTIF(B12:B17,"KP")</f>
        <v>0</v>
      </c>
      <c r="I19" s="32" t="s">
        <v>33</v>
      </c>
      <c r="J19" s="172" t="s">
        <v>24</v>
      </c>
      <c r="K19" s="172"/>
      <c r="L19" s="172"/>
      <c r="M19" s="173" t="s">
        <v>12</v>
      </c>
      <c r="N19" s="173"/>
      <c r="O19" s="171">
        <v>76</v>
      </c>
      <c r="P19" s="171"/>
      <c r="Q19" s="34"/>
      <c r="R19" s="20"/>
      <c r="S19" s="183" t="s">
        <v>41</v>
      </c>
      <c r="T19" s="183"/>
      <c r="U19" s="41"/>
      <c r="V19" s="41"/>
      <c r="W19" s="17"/>
      <c r="X19" s="18"/>
    </row>
    <row r="20" spans="1:24" ht="31.5" customHeight="1" thickBot="1" x14ac:dyDescent="0.3">
      <c r="A20" s="23"/>
      <c r="B20" s="6" t="s">
        <v>3</v>
      </c>
      <c r="C20" s="44">
        <f>SUM(S2:S8)</f>
        <v>0</v>
      </c>
      <c r="D20" s="44">
        <f>IF(F3=1,U9,V9)</f>
        <v>0</v>
      </c>
      <c r="E20" s="87">
        <f>IF((OR(C33&gt;=1,V16&lt;=1)),V16-C33, V16)</f>
        <v>0</v>
      </c>
      <c r="F20" s="45"/>
      <c r="G20" s="20"/>
      <c r="H20" s="46"/>
      <c r="I20" s="23"/>
      <c r="J20" s="23"/>
      <c r="K20" s="23"/>
      <c r="L20" s="23"/>
      <c r="M20" s="179" t="s">
        <v>35</v>
      </c>
      <c r="N20" s="180"/>
      <c r="O20" s="185" t="s">
        <v>34</v>
      </c>
      <c r="P20" s="185"/>
      <c r="Q20" s="47"/>
      <c r="R20" s="20"/>
      <c r="S20" s="184"/>
      <c r="T20" s="184"/>
      <c r="U20" s="184"/>
      <c r="V20" s="184"/>
      <c r="W20" s="17"/>
      <c r="X20" s="18"/>
    </row>
    <row r="21" spans="1:24" ht="35.25" customHeight="1" thickBot="1" x14ac:dyDescent="0.3">
      <c r="A21" s="11"/>
      <c r="B21" s="6" t="s">
        <v>1</v>
      </c>
      <c r="C21" s="44">
        <f>C6*IF(F4,0.9,1)*IF(F5,0.8,1)*IF(F6,0.85,1)</f>
        <v>0</v>
      </c>
      <c r="D21" s="44">
        <f>U11</f>
        <v>0</v>
      </c>
      <c r="E21" s="87">
        <f>IF(W11&lt;=0,0,W11)</f>
        <v>0</v>
      </c>
      <c r="F21" s="45"/>
      <c r="G21" s="20"/>
      <c r="H21" s="46"/>
      <c r="I21" s="23"/>
      <c r="J21" s="23"/>
      <c r="K21" s="23"/>
      <c r="L21" s="23"/>
      <c r="M21" s="181"/>
      <c r="N21" s="182"/>
      <c r="O21" s="186"/>
      <c r="P21" s="186"/>
      <c r="Q21" s="47"/>
      <c r="R21" s="20"/>
      <c r="S21" s="184"/>
      <c r="T21" s="184"/>
      <c r="U21" s="184"/>
      <c r="V21" s="184"/>
      <c r="W21" s="17"/>
      <c r="X21" s="18"/>
    </row>
    <row r="22" spans="1:24" ht="28.5" customHeight="1" x14ac:dyDescent="0.25">
      <c r="A22" s="11"/>
      <c r="B22" s="6" t="s">
        <v>55</v>
      </c>
      <c r="C22" s="44">
        <f>SUM(C9:C17,C6)*IF(F4,0.9,1)*IF(F5,0.8,1)*IF(F6,0.85,1)</f>
        <v>0</v>
      </c>
      <c r="D22" s="44">
        <f>D20+D21</f>
        <v>0</v>
      </c>
      <c r="E22" s="87">
        <f>E20+E21</f>
        <v>0</v>
      </c>
      <c r="F22" s="45"/>
      <c r="G22" s="20"/>
      <c r="H22" s="46"/>
      <c r="I22" s="23"/>
      <c r="J22" s="23"/>
      <c r="K22" s="23"/>
      <c r="L22" s="23"/>
      <c r="M22" s="187" t="s">
        <v>51</v>
      </c>
      <c r="N22" s="188"/>
      <c r="O22" s="47"/>
      <c r="P22" s="47"/>
      <c r="Q22" s="47"/>
      <c r="R22" s="20"/>
      <c r="S22" s="184"/>
      <c r="T22" s="184"/>
      <c r="U22" s="184"/>
      <c r="V22" s="184"/>
      <c r="W22" s="17"/>
      <c r="X22" s="18"/>
    </row>
    <row r="23" spans="1:24" ht="15.95" customHeight="1" thickBot="1" x14ac:dyDescent="0.3">
      <c r="A23" s="11"/>
      <c r="B23" s="11"/>
      <c r="C23" s="48"/>
      <c r="D23" s="11"/>
      <c r="E23" s="49"/>
      <c r="F23" s="38"/>
      <c r="G23" s="20"/>
      <c r="H23" s="50"/>
      <c r="I23" s="51"/>
      <c r="J23" s="51"/>
      <c r="K23" s="51"/>
      <c r="L23" s="51"/>
      <c r="M23" s="189"/>
      <c r="N23" s="190"/>
      <c r="O23" s="23"/>
      <c r="P23" s="23"/>
      <c r="Q23" s="23"/>
      <c r="R23" s="20"/>
      <c r="S23" s="184"/>
      <c r="T23" s="184"/>
      <c r="U23" s="184"/>
      <c r="V23" s="184"/>
      <c r="W23" s="17"/>
      <c r="X23" s="18"/>
    </row>
    <row r="24" spans="1:24" ht="15.95" customHeight="1" thickBot="1" x14ac:dyDescent="0.3">
      <c r="A24" s="11"/>
      <c r="B24" s="7" t="s">
        <v>4</v>
      </c>
      <c r="C24" s="10"/>
      <c r="D24" s="5"/>
      <c r="E24" s="52"/>
      <c r="F24" s="38"/>
      <c r="G24" s="20"/>
      <c r="H24" s="21"/>
      <c r="I24" s="51"/>
      <c r="J24" s="51"/>
      <c r="K24" s="51"/>
      <c r="L24" s="51"/>
      <c r="M24" s="191"/>
      <c r="N24" s="192"/>
      <c r="O24" s="23"/>
      <c r="P24" s="23"/>
      <c r="Q24" s="23"/>
      <c r="R24" s="20"/>
      <c r="S24" s="184"/>
      <c r="T24" s="184"/>
      <c r="U24" s="184"/>
      <c r="V24" s="184"/>
      <c r="W24" s="17"/>
      <c r="X24" s="18"/>
    </row>
    <row r="25" spans="1:24" ht="15.95" customHeight="1" x14ac:dyDescent="0.25">
      <c r="A25" s="11"/>
      <c r="B25" s="161" t="str">
        <f>IF(E20&lt;=0,"Eyeconic Order "&amp;C24&amp;": Pay "&amp;TEXT(E22,"$#,##0.00")&amp;" for frame. Bill the difference between in and OON coverage to the client.","Eyeconic Order "&amp;C24&amp;": Pay "&amp;TEXT(E20,"$#,##0.00")&amp;" for lens and "&amp;TEXT(E21,"$#,##0.00")&amp;" for frame, total "&amp;TEXT(E22,"$#,##0.00")&amp;". Bill the difference between in and OON coverage to the client.")</f>
        <v>Eyeconic Order : Pay $0.00 for frame. Bill the difference between in and OON coverage to the client.</v>
      </c>
      <c r="C25" s="162"/>
      <c r="D25" s="163"/>
      <c r="E25" s="4"/>
      <c r="F25" s="17"/>
      <c r="G25" s="20"/>
      <c r="H25" s="21"/>
      <c r="I25" s="23"/>
      <c r="J25" s="23"/>
      <c r="K25" s="23"/>
      <c r="L25" s="23"/>
      <c r="M25" s="23"/>
      <c r="N25" s="23"/>
      <c r="O25" s="23"/>
      <c r="P25" s="23"/>
      <c r="Q25" s="23"/>
      <c r="R25" s="20"/>
      <c r="S25" s="17"/>
      <c r="T25" s="17"/>
      <c r="U25" s="17"/>
      <c r="V25" s="17"/>
      <c r="W25" s="17"/>
      <c r="X25" s="18"/>
    </row>
    <row r="26" spans="1:24" ht="15.95" customHeight="1" x14ac:dyDescent="0.25">
      <c r="A26" s="11"/>
      <c r="B26" s="164"/>
      <c r="C26" s="165"/>
      <c r="D26" s="166"/>
      <c r="E26" s="4"/>
      <c r="F26" s="53"/>
      <c r="G26" s="20"/>
      <c r="H26" s="21"/>
      <c r="I26" s="51"/>
      <c r="J26" s="51"/>
      <c r="K26" s="51"/>
      <c r="L26" s="51"/>
      <c r="M26" s="23"/>
      <c r="N26" s="23"/>
      <c r="O26" s="23"/>
      <c r="P26" s="23"/>
      <c r="Q26" s="23"/>
      <c r="R26" s="20"/>
      <c r="S26" s="17"/>
      <c r="T26" s="17"/>
      <c r="U26" s="17"/>
      <c r="V26" s="17"/>
      <c r="W26" s="17"/>
      <c r="X26" s="18"/>
    </row>
    <row r="27" spans="1:24" ht="15.95" customHeight="1" thickBot="1" x14ac:dyDescent="0.3">
      <c r="A27" s="11"/>
      <c r="B27" s="167"/>
      <c r="C27" s="168"/>
      <c r="D27" s="169"/>
      <c r="E27" s="4"/>
      <c r="F27" s="53"/>
      <c r="G27" s="20"/>
      <c r="H27" s="54"/>
      <c r="I27" s="51"/>
      <c r="J27" s="51"/>
      <c r="K27" s="51"/>
      <c r="L27" s="51"/>
      <c r="M27" s="23"/>
      <c r="N27" s="23"/>
      <c r="O27" s="23"/>
      <c r="P27" s="23"/>
      <c r="Q27" s="23"/>
      <c r="R27" s="20"/>
      <c r="S27" s="17"/>
      <c r="T27" s="17"/>
      <c r="U27" s="17"/>
      <c r="V27" s="17"/>
      <c r="W27" s="17"/>
      <c r="X27" s="18"/>
    </row>
    <row r="28" spans="1:24" ht="15.95" customHeight="1" x14ac:dyDescent="0.25">
      <c r="A28" s="11"/>
      <c r="B28" s="55"/>
      <c r="C28" s="56" t="s">
        <v>62</v>
      </c>
      <c r="D28" s="56" t="s">
        <v>63</v>
      </c>
      <c r="E28" s="57"/>
      <c r="F28" s="53"/>
      <c r="G28" s="20"/>
      <c r="H28" s="54"/>
      <c r="I28" s="51"/>
      <c r="J28" s="51"/>
      <c r="K28" s="51"/>
      <c r="L28" s="51"/>
      <c r="M28" s="23"/>
      <c r="N28" s="23"/>
      <c r="O28" s="23"/>
      <c r="P28" s="23"/>
      <c r="Q28" s="23"/>
      <c r="R28" s="20"/>
      <c r="S28" s="17"/>
      <c r="T28" s="17"/>
      <c r="U28" s="17"/>
      <c r="V28" s="17"/>
      <c r="W28" s="17"/>
      <c r="X28" s="18"/>
    </row>
    <row r="29" spans="1:24" ht="15.95" customHeight="1" x14ac:dyDescent="0.25">
      <c r="A29" s="58"/>
      <c r="B29" s="15"/>
      <c r="C29" s="15"/>
      <c r="D29" s="15"/>
      <c r="E29" s="15"/>
      <c r="F29" s="53"/>
      <c r="G29" s="15"/>
      <c r="H29" s="54"/>
      <c r="I29" s="23"/>
      <c r="J29" s="23"/>
      <c r="K29" s="23"/>
      <c r="L29" s="23"/>
      <c r="M29" s="23"/>
      <c r="N29" s="23"/>
      <c r="O29" s="23"/>
      <c r="P29" s="23"/>
      <c r="Q29" s="23"/>
      <c r="R29" s="15"/>
      <c r="S29" s="17"/>
      <c r="T29" s="17"/>
      <c r="U29" s="17"/>
      <c r="V29" s="17"/>
      <c r="W29" s="17"/>
      <c r="X29" s="18"/>
    </row>
    <row r="30" spans="1:24" ht="3" customHeight="1" x14ac:dyDescent="0.25">
      <c r="A30" s="11"/>
      <c r="B30" s="59"/>
      <c r="C30" s="59"/>
      <c r="D30" s="59"/>
      <c r="E30" s="59"/>
      <c r="F30" s="53"/>
      <c r="G30" s="20"/>
      <c r="H30" s="60"/>
      <c r="I30" s="59"/>
      <c r="J30" s="59"/>
      <c r="K30" s="59"/>
      <c r="L30" s="59"/>
      <c r="M30" s="59"/>
      <c r="N30" s="59"/>
      <c r="O30" s="59"/>
      <c r="P30" s="59"/>
      <c r="Q30" s="59"/>
      <c r="R30" s="15"/>
      <c r="S30" s="17"/>
      <c r="T30" s="17"/>
      <c r="U30" s="17"/>
      <c r="V30" s="17"/>
      <c r="W30" s="17"/>
      <c r="X30" s="18"/>
    </row>
    <row r="31" spans="1:24" ht="14.1" customHeight="1" x14ac:dyDescent="0.25">
      <c r="A31" s="23"/>
      <c r="B31" s="159" t="s">
        <v>48</v>
      </c>
      <c r="C31" s="160"/>
      <c r="D31" s="61"/>
      <c r="E31" s="59"/>
      <c r="F31" s="17"/>
      <c r="G31" s="20"/>
      <c r="H31" s="21"/>
      <c r="I31" s="59"/>
      <c r="J31" s="59"/>
      <c r="K31" s="59"/>
      <c r="L31" s="59"/>
      <c r="M31" s="59"/>
      <c r="N31" s="59"/>
      <c r="O31" s="59"/>
      <c r="P31" s="59"/>
      <c r="Q31" s="59"/>
      <c r="R31" s="15"/>
      <c r="S31" s="17"/>
      <c r="T31" s="193"/>
      <c r="U31" s="193"/>
      <c r="V31" s="17"/>
      <c r="W31" s="17"/>
      <c r="X31" s="18"/>
    </row>
    <row r="32" spans="1:24" ht="14.1" customHeight="1" thickBot="1" x14ac:dyDescent="0.3">
      <c r="A32" s="23"/>
      <c r="B32" s="62"/>
      <c r="C32" s="63" t="s">
        <v>38</v>
      </c>
      <c r="D32" s="64"/>
      <c r="E32" s="59"/>
      <c r="F32" s="17"/>
      <c r="G32" s="20"/>
      <c r="H32" s="21"/>
      <c r="I32" s="59"/>
      <c r="J32" s="59"/>
      <c r="K32" s="59"/>
      <c r="L32" s="59"/>
      <c r="M32" s="59"/>
      <c r="N32" s="59"/>
      <c r="O32" s="59"/>
      <c r="P32" s="59"/>
      <c r="Q32" s="59"/>
      <c r="R32" s="15"/>
      <c r="S32" s="17"/>
      <c r="T32" s="17"/>
      <c r="U32" s="17"/>
      <c r="V32" s="17"/>
      <c r="W32" s="17"/>
      <c r="X32" s="18"/>
    </row>
    <row r="33" spans="1:24" ht="14.1" customHeight="1" thickBot="1" x14ac:dyDescent="0.3">
      <c r="A33" s="23"/>
      <c r="B33" s="65" t="s">
        <v>3</v>
      </c>
      <c r="C33" s="115"/>
      <c r="D33" s="66"/>
      <c r="E33" s="59"/>
      <c r="F33" s="17"/>
      <c r="G33" s="20"/>
      <c r="H33" s="21"/>
      <c r="I33" s="59"/>
      <c r="J33" s="59"/>
      <c r="K33" s="59"/>
      <c r="L33" s="59"/>
      <c r="M33" s="59"/>
      <c r="N33" s="59"/>
      <c r="O33" s="59"/>
      <c r="P33" s="59"/>
      <c r="Q33" s="59"/>
      <c r="R33" s="15"/>
      <c r="S33" s="17"/>
      <c r="T33" s="17"/>
      <c r="U33" s="17"/>
      <c r="V33" s="17"/>
      <c r="W33" s="17"/>
      <c r="X33" s="18"/>
    </row>
    <row r="34" spans="1:24" ht="14.1" customHeight="1" thickBot="1" x14ac:dyDescent="0.3">
      <c r="A34" s="23"/>
      <c r="B34" s="65" t="s">
        <v>1</v>
      </c>
      <c r="C34" s="116"/>
      <c r="D34" s="66"/>
      <c r="E34" s="59"/>
      <c r="F34" s="17"/>
      <c r="G34" s="20"/>
      <c r="H34" s="60"/>
      <c r="I34" s="59"/>
      <c r="J34" s="67"/>
      <c r="K34" s="59"/>
      <c r="L34" s="59"/>
      <c r="M34" s="59"/>
      <c r="N34" s="59"/>
      <c r="O34" s="59"/>
      <c r="P34" s="59"/>
      <c r="Q34" s="59"/>
      <c r="R34" s="15"/>
      <c r="S34" s="17"/>
      <c r="T34" s="17"/>
      <c r="U34" s="17"/>
      <c r="V34" s="17"/>
      <c r="W34" s="17"/>
      <c r="X34" s="18"/>
    </row>
    <row r="35" spans="1:24" ht="14.1" customHeight="1" x14ac:dyDescent="0.25">
      <c r="A35" s="23"/>
      <c r="B35" s="24" t="s">
        <v>55</v>
      </c>
      <c r="C35" s="68">
        <f>C33+C34</f>
        <v>0</v>
      </c>
      <c r="D35" s="69"/>
      <c r="E35" s="59"/>
      <c r="F35" s="17"/>
      <c r="G35" s="20"/>
      <c r="H35" s="60"/>
      <c r="I35" s="59"/>
      <c r="J35" s="59"/>
      <c r="K35" s="59"/>
      <c r="L35" s="59"/>
      <c r="M35" s="59"/>
      <c r="N35" s="59"/>
      <c r="O35" s="59"/>
      <c r="P35" s="59"/>
      <c r="Q35" s="59"/>
      <c r="R35" s="15"/>
      <c r="S35" s="70"/>
      <c r="T35" s="17"/>
      <c r="U35" s="17"/>
      <c r="V35" s="17"/>
      <c r="W35" s="17"/>
      <c r="X35" s="18"/>
    </row>
    <row r="36" spans="1:24" ht="14.1" customHeight="1" x14ac:dyDescent="0.25">
      <c r="A36" s="23"/>
      <c r="B36" s="71"/>
      <c r="C36" s="72"/>
      <c r="D36" s="69"/>
      <c r="E36" s="59"/>
      <c r="F36" s="17"/>
      <c r="G36" s="20"/>
      <c r="H36" s="60"/>
      <c r="I36" s="59"/>
      <c r="J36" s="59"/>
      <c r="K36" s="59"/>
      <c r="L36" s="59"/>
      <c r="M36" s="59"/>
      <c r="N36" s="59"/>
      <c r="O36" s="59"/>
      <c r="P36" s="59"/>
      <c r="Q36" s="59"/>
      <c r="R36" s="15"/>
      <c r="S36" s="70"/>
      <c r="T36" s="17"/>
      <c r="U36" s="17"/>
      <c r="V36" s="17"/>
      <c r="W36" s="17"/>
      <c r="X36" s="18"/>
    </row>
    <row r="37" spans="1:24" ht="14.1" customHeight="1" thickBot="1" x14ac:dyDescent="0.3">
      <c r="A37" s="23"/>
      <c r="B37" s="157" t="s">
        <v>50</v>
      </c>
      <c r="C37" s="158"/>
      <c r="D37" s="73"/>
      <c r="E37" s="59"/>
      <c r="F37" s="41"/>
      <c r="G37" s="20"/>
      <c r="H37" s="21"/>
      <c r="I37" s="59"/>
      <c r="J37" s="59"/>
      <c r="K37" s="59"/>
      <c r="L37" s="59"/>
      <c r="M37" s="59"/>
      <c r="N37" s="59"/>
      <c r="O37" s="59"/>
      <c r="P37" s="59"/>
      <c r="Q37" s="59"/>
      <c r="R37" s="15"/>
      <c r="S37" s="70"/>
      <c r="T37" s="17"/>
      <c r="U37" s="17"/>
      <c r="V37" s="17"/>
      <c r="W37" s="17"/>
      <c r="X37" s="18"/>
    </row>
    <row r="38" spans="1:24" ht="14.1" customHeight="1" thickBot="1" x14ac:dyDescent="0.3">
      <c r="A38" s="23"/>
      <c r="B38" s="74" t="s">
        <v>49</v>
      </c>
      <c r="C38" s="116"/>
      <c r="D38" s="75"/>
      <c r="E38" s="59"/>
      <c r="F38" s="41"/>
      <c r="G38" s="20"/>
      <c r="H38" s="21"/>
      <c r="I38" s="59"/>
      <c r="J38" s="76"/>
      <c r="K38" s="59"/>
      <c r="L38" s="59"/>
      <c r="M38" s="59"/>
      <c r="N38" s="59"/>
      <c r="O38" s="59"/>
      <c r="P38" s="59"/>
      <c r="Q38" s="59"/>
      <c r="R38" s="15"/>
      <c r="S38" s="178"/>
      <c r="T38" s="178"/>
      <c r="U38" s="178"/>
      <c r="V38" s="178"/>
      <c r="W38" s="178"/>
      <c r="X38" s="18"/>
    </row>
    <row r="39" spans="1:24" ht="13.5" customHeight="1" x14ac:dyDescent="0.25">
      <c r="A39" s="23"/>
      <c r="B39" s="77"/>
      <c r="C39" s="78"/>
      <c r="D39" s="79"/>
      <c r="E39" s="59"/>
      <c r="F39" s="41"/>
      <c r="G39" s="20"/>
      <c r="H39" s="21"/>
      <c r="I39" s="59"/>
      <c r="J39" s="59"/>
      <c r="K39" s="59"/>
      <c r="L39" s="59"/>
      <c r="M39" s="59"/>
      <c r="N39" s="59"/>
      <c r="O39" s="59"/>
      <c r="P39" s="59"/>
      <c r="Q39" s="59"/>
      <c r="R39" s="15"/>
      <c r="S39" s="70"/>
      <c r="T39" s="17"/>
      <c r="U39" s="17"/>
      <c r="V39" s="17"/>
      <c r="W39" s="17"/>
      <c r="X39" s="18"/>
    </row>
    <row r="40" spans="1:24" hidden="1" x14ac:dyDescent="0.25">
      <c r="A40" s="23"/>
      <c r="B40" s="23"/>
      <c r="C40" s="23"/>
      <c r="D40" s="23"/>
      <c r="E40" s="59"/>
      <c r="F40" s="41"/>
      <c r="G40" s="20"/>
      <c r="H40" s="23"/>
      <c r="I40" s="59"/>
      <c r="J40" s="59"/>
      <c r="K40" s="59"/>
      <c r="L40" s="59"/>
      <c r="M40" s="59"/>
      <c r="N40" s="59"/>
      <c r="O40" s="59"/>
      <c r="P40" s="59"/>
      <c r="Q40" s="59"/>
      <c r="R40" s="15"/>
      <c r="S40" s="17"/>
      <c r="T40" s="17"/>
      <c r="U40" s="17"/>
      <c r="V40" s="17"/>
      <c r="W40" s="17"/>
      <c r="X40" s="18"/>
    </row>
    <row r="41" spans="1:24" x14ac:dyDescent="0.25">
      <c r="A41" s="14"/>
      <c r="B41" s="14"/>
      <c r="C41" s="14"/>
      <c r="D41" s="14"/>
      <c r="E41" s="80"/>
      <c r="F41" s="80"/>
      <c r="G41" s="80"/>
      <c r="H41" s="14"/>
      <c r="I41" s="80"/>
      <c r="J41" s="80"/>
      <c r="K41" s="80"/>
      <c r="L41" s="80"/>
      <c r="M41" s="80"/>
      <c r="N41" s="80"/>
      <c r="O41" s="80"/>
      <c r="P41" s="80"/>
      <c r="Q41" s="80"/>
      <c r="R41" s="14"/>
      <c r="S41" s="18"/>
      <c r="T41" s="18"/>
      <c r="U41" s="18"/>
      <c r="V41" s="18"/>
      <c r="W41" s="18"/>
      <c r="X41" s="18"/>
    </row>
    <row r="42" spans="1:24" x14ac:dyDescent="0.25">
      <c r="A42" s="18"/>
      <c r="B42" s="18"/>
      <c r="C42" s="18"/>
      <c r="D42" s="18"/>
      <c r="E42" s="18"/>
      <c r="F42" s="18"/>
      <c r="G42" s="81"/>
      <c r="H42" s="18"/>
      <c r="I42" s="81"/>
      <c r="J42" s="81"/>
      <c r="K42" s="81"/>
      <c r="L42" s="81"/>
      <c r="M42" s="81"/>
      <c r="N42" s="81"/>
      <c r="O42" s="81"/>
      <c r="P42" s="81"/>
      <c r="Q42" s="81"/>
      <c r="R42" s="18"/>
      <c r="S42" s="18"/>
      <c r="T42" s="18"/>
      <c r="U42" s="18"/>
      <c r="V42" s="18"/>
      <c r="W42" s="18"/>
      <c r="X42" s="18"/>
    </row>
    <row r="43" spans="1:24" ht="15" customHeight="1" x14ac:dyDescent="0.25">
      <c r="G43" s="2"/>
      <c r="J43" s="2"/>
    </row>
    <row r="44" spans="1:24" ht="15" customHeight="1" x14ac:dyDescent="0.25">
      <c r="G44" s="2"/>
    </row>
    <row r="46" spans="1:24" x14ac:dyDescent="0.25">
      <c r="A46" s="1" t="s">
        <v>66</v>
      </c>
    </row>
    <row r="47" spans="1:24" ht="15" customHeight="1" x14ac:dyDescent="0.25">
      <c r="A47" s="1" t="s">
        <v>67</v>
      </c>
    </row>
    <row r="48" spans="1:24" ht="15" customHeight="1" x14ac:dyDescent="0.25"/>
    <row r="51" ht="15" customHeight="1" x14ac:dyDescent="0.25"/>
    <row r="52" ht="15" customHeight="1" x14ac:dyDescent="0.25"/>
    <row r="55" ht="15" customHeight="1" x14ac:dyDescent="0.25"/>
    <row r="56" ht="15" customHeight="1" x14ac:dyDescent="0.25"/>
  </sheetData>
  <sheetProtection formatCells="0" formatColumns="0"/>
  <mergeCells count="42">
    <mergeCell ref="M16:N16"/>
    <mergeCell ref="O17:P17"/>
    <mergeCell ref="S38:W38"/>
    <mergeCell ref="O18:P18"/>
    <mergeCell ref="O19:P19"/>
    <mergeCell ref="M20:N21"/>
    <mergeCell ref="S19:T19"/>
    <mergeCell ref="S20:V24"/>
    <mergeCell ref="O20:P21"/>
    <mergeCell ref="M19:N19"/>
    <mergeCell ref="M22:N24"/>
    <mergeCell ref="T31:U31"/>
    <mergeCell ref="J4:L4"/>
    <mergeCell ref="J5:L5"/>
    <mergeCell ref="J6:L6"/>
    <mergeCell ref="J17:L17"/>
    <mergeCell ref="J7:L7"/>
    <mergeCell ref="J8:L8"/>
    <mergeCell ref="J9:L9"/>
    <mergeCell ref="J10:L10"/>
    <mergeCell ref="J11:L11"/>
    <mergeCell ref="A1:E1"/>
    <mergeCell ref="C2:D2"/>
    <mergeCell ref="I2:L3"/>
    <mergeCell ref="M2:N3"/>
    <mergeCell ref="O2:P3"/>
    <mergeCell ref="B37:C37"/>
    <mergeCell ref="B31:C31"/>
    <mergeCell ref="B25:D27"/>
    <mergeCell ref="S12:V12"/>
    <mergeCell ref="O15:P15"/>
    <mergeCell ref="O16:P16"/>
    <mergeCell ref="J12:L12"/>
    <mergeCell ref="J13:L13"/>
    <mergeCell ref="J14:L14"/>
    <mergeCell ref="J15:L15"/>
    <mergeCell ref="J19:L19"/>
    <mergeCell ref="J18:L18"/>
    <mergeCell ref="M18:N18"/>
    <mergeCell ref="J16:L16"/>
    <mergeCell ref="M15:N15"/>
    <mergeCell ref="M17:N17"/>
  </mergeCells>
  <dataValidations xWindow="274" yWindow="583" count="1">
    <dataValidation allowBlank="1" sqref="A1:W48" xr:uid="{7450A616-DF4E-4D08-A764-03487391FA84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0" r:id="rId4" name="NOTE">
          <controlPr defaultSize="0" autoLine="0" r:id="rId5">
            <anchor moveWithCells="1">
              <from>
                <xdr:col>4</xdr:col>
                <xdr:colOff>85725</xdr:colOff>
                <xdr:row>24</xdr:row>
                <xdr:rowOff>19050</xdr:rowOff>
              </from>
              <to>
                <xdr:col>10</xdr:col>
                <xdr:colOff>47625</xdr:colOff>
                <xdr:row>26</xdr:row>
                <xdr:rowOff>104775</xdr:rowOff>
              </to>
            </anchor>
          </controlPr>
        </control>
      </mc:Choice>
      <mc:Fallback>
        <control shapeId="1050" r:id="rId4" name="NO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7333-7833-4196-96FF-F457AE0D1B21}">
  <sheetPr codeName="Sheet3"/>
  <dimension ref="A1:S13"/>
  <sheetViews>
    <sheetView tabSelected="1" zoomScale="85" zoomScaleNormal="85" workbookViewId="0">
      <selection activeCell="B43" sqref="B43"/>
    </sheetView>
  </sheetViews>
  <sheetFormatPr defaultRowHeight="15" x14ac:dyDescent="0.25"/>
  <sheetData>
    <row r="1" spans="1:19" ht="28.5" customHeight="1" x14ac:dyDescent="0.25">
      <c r="A1" s="194" t="s">
        <v>79</v>
      </c>
      <c r="B1" s="194"/>
      <c r="C1" s="194"/>
      <c r="D1" s="194"/>
      <c r="E1" s="194"/>
      <c r="F1" s="194"/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</row>
    <row r="2" spans="1:19" x14ac:dyDescent="0.25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</row>
    <row r="3" spans="1:19" x14ac:dyDescent="0.25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</row>
    <row r="4" spans="1:19" x14ac:dyDescent="0.25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</row>
    <row r="5" spans="1:19" x14ac:dyDescent="0.25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  <c r="Q5" s="194"/>
      <c r="R5" s="194"/>
      <c r="S5" s="194"/>
    </row>
    <row r="6" spans="1:19" x14ac:dyDescent="0.25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  <c r="Q6" s="194"/>
      <c r="R6" s="194"/>
      <c r="S6" s="194"/>
    </row>
    <row r="7" spans="1:19" x14ac:dyDescent="0.25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  <c r="Q7" s="194"/>
      <c r="R7" s="194"/>
      <c r="S7" s="194"/>
    </row>
    <row r="8" spans="1:19" x14ac:dyDescent="0.25">
      <c r="A8" s="194"/>
      <c r="B8" s="194"/>
      <c r="C8" s="194"/>
      <c r="D8" s="194"/>
      <c r="E8" s="194"/>
      <c r="F8" s="194"/>
      <c r="G8" s="194"/>
      <c r="H8" s="194"/>
      <c r="I8" s="194"/>
      <c r="J8" s="194"/>
      <c r="K8" s="194"/>
      <c r="L8" s="194"/>
      <c r="M8" s="194"/>
      <c r="N8" s="194"/>
      <c r="O8" s="194"/>
      <c r="P8" s="194"/>
      <c r="Q8" s="194"/>
      <c r="R8" s="194"/>
      <c r="S8" s="194"/>
    </row>
    <row r="9" spans="1:19" x14ac:dyDescent="0.25">
      <c r="A9" s="194"/>
      <c r="B9" s="194"/>
      <c r="C9" s="194"/>
      <c r="D9" s="194"/>
      <c r="E9" s="194"/>
      <c r="F9" s="194"/>
      <c r="G9" s="194"/>
      <c r="H9" s="194"/>
      <c r="I9" s="194"/>
      <c r="J9" s="194"/>
      <c r="K9" s="194"/>
      <c r="L9" s="194"/>
      <c r="M9" s="194"/>
      <c r="N9" s="194"/>
      <c r="O9" s="194"/>
      <c r="P9" s="194"/>
      <c r="Q9" s="194"/>
      <c r="R9" s="194"/>
      <c r="S9" s="194"/>
    </row>
    <row r="10" spans="1:19" x14ac:dyDescent="0.25">
      <c r="A10" s="194"/>
      <c r="B10" s="194"/>
      <c r="C10" s="194"/>
      <c r="D10" s="194"/>
      <c r="E10" s="194"/>
      <c r="F10" s="194"/>
      <c r="G10" s="194"/>
      <c r="H10" s="194"/>
      <c r="I10" s="194"/>
      <c r="J10" s="194"/>
      <c r="K10" s="194"/>
      <c r="L10" s="194"/>
      <c r="M10" s="194"/>
      <c r="N10" s="194"/>
      <c r="O10" s="194"/>
      <c r="P10" s="194"/>
      <c r="Q10" s="194"/>
      <c r="R10" s="194"/>
      <c r="S10" s="194"/>
    </row>
    <row r="13" spans="1:19" x14ac:dyDescent="0.25">
      <c r="I13" s="94"/>
    </row>
  </sheetData>
  <mergeCells count="1">
    <mergeCell ref="A1:S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GOD1">
                <anchor moveWithCells="1" sizeWithCells="1">
                  <from>
                    <xdr:col>0</xdr:col>
                    <xdr:colOff>57150</xdr:colOff>
                    <xdr:row>40</xdr:row>
                    <xdr:rowOff>47625</xdr:rowOff>
                  </from>
                  <to>
                    <xdr:col>1</xdr:col>
                    <xdr:colOff>552450</xdr:colOff>
                    <xdr:row>42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3.GOD2">
                <anchor moveWithCells="1" sizeWithCells="1">
                  <from>
                    <xdr:col>2</xdr:col>
                    <xdr:colOff>28575</xdr:colOff>
                    <xdr:row>40</xdr:row>
                    <xdr:rowOff>47625</xdr:rowOff>
                  </from>
                  <to>
                    <xdr:col>3</xdr:col>
                    <xdr:colOff>523875</xdr:colOff>
                    <xdr:row>42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52289035-f266-45d0-8afb-44f1664ca9dd">CUSTCARE-277-6358</_dlc_DocId>
    <_dlc_DocIdUrl xmlns="52289035-f266-45d0-8afb-44f1664ca9dd">
      <Url>https://visionserviceplan.sharepoint.com/teams/CustomerCare/cs/USC/_layouts/15/DocIdRedir.aspx?ID=CUSTCARE-277-6358</Url>
      <Description>CUSTCARE-277-6358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D898EEBDB8DA44EBC4540CF9F87C0D8" ma:contentTypeVersion="94" ma:contentTypeDescription="Create a new document." ma:contentTypeScope="" ma:versionID="f1eb2ded52776739d8d506e61bb37589">
  <xsd:schema xmlns:xsd="http://www.w3.org/2001/XMLSchema" xmlns:xs="http://www.w3.org/2001/XMLSchema" xmlns:p="http://schemas.microsoft.com/office/2006/metadata/properties" xmlns:ns2="52289035-f266-45d0-8afb-44f1664ca9dd" xmlns:ns3="371f85f6-e97c-4fb4-adbf-10d0bb5f5968" xmlns:ns4="3636139c-71c5-487a-b6dc-bb2ba6348ed5" targetNamespace="http://schemas.microsoft.com/office/2006/metadata/properties" ma:root="true" ma:fieldsID="f1634b0838ae73b3c4fad1843d739f40" ns2:_="" ns3:_="" ns4:_="">
    <xsd:import namespace="52289035-f266-45d0-8afb-44f1664ca9dd"/>
    <xsd:import namespace="371f85f6-e97c-4fb4-adbf-10d0bb5f5968"/>
    <xsd:import namespace="3636139c-71c5-487a-b6dc-bb2ba6348ed5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SharedWithUsers" minOccurs="0"/>
                <xsd:element ref="ns3:SharedWithDetails" minOccurs="0"/>
                <xsd:element ref="ns4:MediaServiceMetadata" minOccurs="0"/>
                <xsd:element ref="ns4:MediaServiceFastMetadata" minOccurs="0"/>
                <xsd:element ref="ns4:MediaServiceEventHashCode" minOccurs="0"/>
                <xsd:element ref="ns4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289035-f266-45d0-8afb-44f1664ca9d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1f85f6-e97c-4fb4-adbf-10d0bb5f5968" elementFormDefault="qualified">
    <xsd:import namespace="http://schemas.microsoft.com/office/2006/documentManagement/types"/>
    <xsd:import namespace="http://schemas.microsoft.com/office/infopath/2007/PartnerControls"/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36139c-71c5-487a-b6dc-bb2ba6348e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CCC017-0E6B-4789-B2BA-3EC7D3BCD657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BA20DCBD-C5CB-4A3B-923F-06494D0D2C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84B091-7B70-40FC-AA6A-E1F76ADA580D}">
  <ds:schemaRefs>
    <ds:schemaRef ds:uri="http://purl.org/dc/elements/1.1/"/>
    <ds:schemaRef ds:uri="52289035-f266-45d0-8afb-44f1664ca9dd"/>
    <ds:schemaRef ds:uri="3636139c-71c5-487a-b6dc-bb2ba6348ed5"/>
    <ds:schemaRef ds:uri="http://purl.org/dc/dcmitype/"/>
    <ds:schemaRef ds:uri="http://www.w3.org/XML/1998/namespace"/>
    <ds:schemaRef ds:uri="http://schemas.microsoft.com/office/2006/documentManagement/types"/>
    <ds:schemaRef ds:uri="371f85f6-e97c-4fb4-adbf-10d0bb5f5968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C8B031B3-9733-47FB-B4E3-878ADFF27B4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2289035-f266-45d0-8afb-44f1664ca9dd"/>
    <ds:schemaRef ds:uri="371f85f6-e97c-4fb4-adbf-10d0bb5f5968"/>
    <ds:schemaRef ds:uri="3636139c-71c5-487a-b6dc-bb2ba6348e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RATF</vt:lpstr>
      <vt:lpstr>TOOL</vt:lpstr>
      <vt:lpstr>.</vt:lpstr>
      <vt:lpstr>color1</vt:lpstr>
      <vt:lpstr>color2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Arcuri</dc:creator>
  <cp:lastModifiedBy>Nathan Arcuri</cp:lastModifiedBy>
  <dcterms:created xsi:type="dcterms:W3CDTF">2018-10-19T22:30:20Z</dcterms:created>
  <dcterms:modified xsi:type="dcterms:W3CDTF">2019-12-10T20:24:53Z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0x0101007D898EEBDB8DA44EBC4540CF9F87C0D8</vt:lpwstr>
  </property>
  <property fmtid="{D5CDD505-2E9C-101B-9397-08002B2CF9AE}" pid="3" name="_dlc_DocIdItemGuid">
    <vt:lpwstr>3b81b2c2-49ba-4eb6-a9ed-d32c31449122</vt:lpwstr>
  </property>
</Properties>
</file>