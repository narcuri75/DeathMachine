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trlProps/ctrlProp32.xml" ContentType="application/vnd.ms-excel.controlproperties+xml"/>
  <Override PartName="/xl/drawings/drawing5.xml" ContentType="application/vnd.openxmlformats-officedocument.drawing+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nathar\Downloads\"/>
    </mc:Choice>
  </mc:AlternateContent>
  <xr:revisionPtr revIDLastSave="0" documentId="13_ncr:1_{2B2CFB6B-D2C6-485B-86A0-ACB7E71CDFB1}" xr6:coauthVersionLast="41" xr6:coauthVersionMax="41" xr10:uidLastSave="{00000000-0000-0000-0000-000000000000}"/>
  <workbookProtection workbookAlgorithmName="SHA-512" workbookHashValue="B9m1WV+TgGTjOnNBpZsIqo0/gBiI1jirXbYw1P8P4sIWgUqdIjrbkTYH+kCFeeoGkkSawR8mAQqZ2PKjMdGltw==" workbookSaltValue="yuNnmvCH1w9MMRWMG5ZSVQ==" workbookSpinCount="100000" lockStructure="1"/>
  <bookViews>
    <workbookView xWindow="-120" yWindow="-120" windowWidth="29040" windowHeight="15840" tabRatio="856" xr2:uid="{E9D632E1-0B51-4D3F-9E29-6E9F45CB2C6B}"/>
  </bookViews>
  <sheets>
    <sheet name="CONTACTS" sheetId="3" r:id="rId1"/>
    <sheet name="MAIN - CL" sheetId="1" state="hidden" r:id="rId2"/>
    <sheet name="FRAMES" sheetId="9" r:id="rId3"/>
    <sheet name="MAIN - FRAMES" sheetId="10" state="hidden" r:id="rId4"/>
    <sheet name="." sheetId="12" r:id="rId5"/>
    <sheet name="SAVE DATA" sheetId="6" state="hidden" r:id="rId6"/>
    <sheet name="Competitors" sheetId="7" state="hidden"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80" i="6" l="1"/>
  <c r="G80" i="6" s="1"/>
  <c r="F79" i="6"/>
  <c r="G79" i="6" s="1"/>
  <c r="H79" i="6" s="1"/>
  <c r="G77" i="6"/>
  <c r="H77" i="6"/>
  <c r="E77" i="6"/>
  <c r="F77" i="6"/>
  <c r="F80" i="6" l="1"/>
  <c r="H80" i="6"/>
  <c r="A46" i="9"/>
  <c r="E67" i="6"/>
  <c r="F67" i="6"/>
  <c r="G67" i="6"/>
  <c r="A48" i="9" l="1"/>
  <c r="A46" i="3" l="1"/>
  <c r="A37" i="3" l="1"/>
  <c r="C24" i="7"/>
  <c r="B24" i="7"/>
  <c r="E3" i="10"/>
  <c r="A39" i="9"/>
  <c r="C25" i="7" l="1"/>
  <c r="C26" i="7" s="1"/>
  <c r="B25" i="7"/>
  <c r="B26" i="7" s="1"/>
  <c r="B44" i="10"/>
  <c r="G3" i="1"/>
  <c r="A26" i="7" l="1"/>
  <c r="A27" i="7" s="1"/>
  <c r="L3" i="10"/>
  <c r="J3" i="10"/>
  <c r="I3" i="10"/>
  <c r="D43" i="10"/>
  <c r="I33" i="1"/>
  <c r="N3" i="1" l="1"/>
  <c r="L3" i="1"/>
  <c r="K3" i="1"/>
  <c r="E15" i="7" l="1"/>
  <c r="D15" i="7"/>
  <c r="C15" i="7"/>
  <c r="E8" i="7"/>
  <c r="D8" i="7"/>
  <c r="C8" i="7"/>
  <c r="E7" i="7"/>
  <c r="D7" i="7"/>
  <c r="C7" i="7"/>
  <c r="E8" i="6" l="1"/>
  <c r="A18" i="9" l="1"/>
  <c r="A20" i="9"/>
  <c r="B44" i="1"/>
  <c r="J33" i="1"/>
  <c r="H33" i="1"/>
  <c r="A18" i="3" l="1"/>
  <c r="A16" i="3"/>
  <c r="B20" i="10"/>
  <c r="B1" i="6"/>
  <c r="F3" i="6"/>
  <c r="F2" i="6"/>
  <c r="F1" i="6"/>
  <c r="E4" i="6"/>
  <c r="E3" i="6"/>
  <c r="E2" i="6"/>
  <c r="E1" i="6"/>
  <c r="E5" i="6"/>
  <c r="E6" i="6"/>
  <c r="E7" i="6"/>
  <c r="E9" i="6"/>
  <c r="B41" i="10"/>
  <c r="B31" i="10" l="1"/>
  <c r="C43" i="10"/>
  <c r="B39" i="10"/>
  <c r="E43" i="10"/>
  <c r="B18" i="10"/>
  <c r="J18" i="3" l="1"/>
  <c r="J17" i="3"/>
  <c r="J16" i="3"/>
  <c r="J15" i="3"/>
  <c r="J14" i="3"/>
  <c r="J16" i="9"/>
  <c r="J20" i="9"/>
  <c r="J19" i="9"/>
  <c r="J17" i="9"/>
  <c r="J18" i="9"/>
  <c r="B38" i="10"/>
  <c r="C37" i="10"/>
  <c r="C36" i="10"/>
  <c r="B28" i="10"/>
  <c r="B43" i="10" s="1"/>
  <c r="B35" i="10"/>
  <c r="B15" i="10"/>
  <c r="C16" i="10" s="1"/>
  <c r="B12" i="10"/>
  <c r="B16" i="10" l="1"/>
  <c r="G7" i="10"/>
  <c r="I7" i="10" s="1"/>
  <c r="G8" i="10"/>
  <c r="I12" i="10" s="1"/>
  <c r="I14" i="10" s="1"/>
  <c r="I15" i="10" s="1"/>
  <c r="H30" i="10"/>
  <c r="D22" i="9"/>
  <c r="G9" i="10"/>
  <c r="I8" i="10" s="1"/>
  <c r="I13" i="10" s="1"/>
  <c r="I9" i="10" l="1"/>
  <c r="I10" i="10" s="1"/>
  <c r="I17" i="10" s="1"/>
  <c r="B21" i="10" s="1"/>
  <c r="B17" i="10"/>
  <c r="B37" i="1"/>
  <c r="A27" i="1" l="1"/>
  <c r="A28" i="1"/>
  <c r="A9" i="6"/>
  <c r="B9" i="6"/>
  <c r="A1" i="6"/>
  <c r="A2" i="6"/>
  <c r="A3" i="6"/>
  <c r="B3" i="6"/>
  <c r="A4" i="6"/>
  <c r="B4" i="6"/>
  <c r="A5" i="6"/>
  <c r="A6" i="6"/>
  <c r="B5" i="6"/>
  <c r="B6" i="6"/>
  <c r="B7" i="6"/>
  <c r="A8" i="6"/>
  <c r="B8" i="6"/>
  <c r="A7" i="6"/>
  <c r="B39" i="1" l="1"/>
  <c r="B42" i="1" l="1"/>
  <c r="B17" i="1"/>
  <c r="C4" i="1"/>
  <c r="C38" i="1" l="1"/>
  <c r="B38" i="1"/>
  <c r="B15" i="1"/>
  <c r="A12" i="1"/>
  <c r="B12" i="1"/>
  <c r="E20" i="3" l="1"/>
  <c r="E27" i="3"/>
  <c r="B16" i="1"/>
  <c r="G16" i="1" l="1"/>
  <c r="B20" i="1" s="1"/>
  <c r="H16" i="1"/>
  <c r="B40" i="1"/>
  <c r="J3" i="1"/>
  <c r="E29" i="3"/>
  <c r="B30" i="1" l="1"/>
  <c r="E78" i="6"/>
  <c r="E81" i="6" s="1"/>
  <c r="F78" i="6"/>
  <c r="F81" i="6" s="1"/>
  <c r="G78" i="6"/>
  <c r="G81" i="6" s="1"/>
  <c r="H78" i="6"/>
  <c r="H81" i="6" s="1"/>
  <c r="A19" i="1"/>
  <c r="B41" i="1"/>
  <c r="B29" i="1" s="1"/>
  <c r="A22" i="1" s="1"/>
  <c r="D37" i="3"/>
  <c r="D46" i="3" s="1"/>
  <c r="E29" i="9" l="1"/>
  <c r="G30" i="10"/>
  <c r="I30" i="10" s="1"/>
  <c r="G10" i="10"/>
  <c r="F21" i="10" l="1"/>
  <c r="I21" i="10"/>
  <c r="E68" i="6" s="1"/>
  <c r="F20" i="10"/>
  <c r="E16" i="10"/>
  <c r="C33" i="10"/>
  <c r="F68" i="6" l="1"/>
  <c r="G68" i="6"/>
  <c r="G71" i="6" s="1"/>
  <c r="H68" i="6"/>
  <c r="E71" i="6"/>
  <c r="D39" i="9"/>
  <c r="C34" i="10"/>
  <c r="A34" i="10" s="1"/>
  <c r="H3" i="10"/>
  <c r="D48" i="9" l="1"/>
  <c r="F71" i="6"/>
  <c r="H71" i="6"/>
  <c r="B32" i="10"/>
  <c r="B25" i="10" s="1"/>
  <c r="B24" i="10"/>
</calcChain>
</file>

<file path=xl/sharedStrings.xml><?xml version="1.0" encoding="utf-8"?>
<sst xmlns="http://schemas.openxmlformats.org/spreadsheetml/2006/main" count="403" uniqueCount="166">
  <si>
    <t>Brand:</t>
  </si>
  <si>
    <t>Quantity:</t>
  </si>
  <si>
    <t>Shipping:</t>
  </si>
  <si>
    <t>Processing:</t>
  </si>
  <si>
    <t>Customer's Email:</t>
  </si>
  <si>
    <t>Difference:</t>
  </si>
  <si>
    <t>Customer's Name:</t>
  </si>
  <si>
    <t>Code Amount:</t>
  </si>
  <si>
    <t>▼ Fill Out Below ▼</t>
  </si>
  <si>
    <t>Eyeconic Price Match Tool</t>
  </si>
  <si>
    <t>◄</t>
  </si>
  <si>
    <t>Promotion Code:</t>
  </si>
  <si>
    <t>Eyeconic</t>
  </si>
  <si>
    <t>Eyeconic Pricing Per Box:</t>
  </si>
  <si>
    <t>Eyeconic Total:</t>
  </si>
  <si>
    <t>Last Updated:</t>
  </si>
  <si>
    <t>end</t>
  </si>
  <si>
    <t>Intro</t>
  </si>
  <si>
    <t>Approved</t>
  </si>
  <si>
    <t>S/H</t>
  </si>
  <si>
    <t>Total</t>
  </si>
  <si>
    <t>Promo</t>
  </si>
  <si>
    <t>|</t>
  </si>
  <si>
    <t>Brand</t>
  </si>
  <si>
    <t>And then this thingy</t>
  </si>
  <si>
    <t>Price Per Box:</t>
  </si>
  <si>
    <t>Competitor:</t>
  </si>
  <si>
    <t>COMPETITOR</t>
  </si>
  <si>
    <t>EYECONIC</t>
  </si>
  <si>
    <t>Eyeconic Price Per Box:</t>
  </si>
  <si>
    <t>Competitor Price Per Box:</t>
  </si>
  <si>
    <t>Vision Insurance:</t>
  </si>
  <si>
    <t>YES</t>
  </si>
  <si>
    <t>NO</t>
  </si>
  <si>
    <t>VB?</t>
  </si>
  <si>
    <t>Competitor Total:</t>
  </si>
  <si>
    <t>&lt;-- need more info</t>
  </si>
  <si>
    <t>Order Already Placed:</t>
  </si>
  <si>
    <t>Order already placed email</t>
  </si>
  <si>
    <t>not placed</t>
  </si>
  <si>
    <t>placed</t>
  </si>
  <si>
    <t>Order not placed</t>
  </si>
  <si>
    <t>PROMOTION CODE</t>
  </si>
  <si>
    <t/>
  </si>
  <si>
    <t>💾 SAVE</t>
  </si>
  <si>
    <t>💾 LOAD</t>
  </si>
  <si>
    <t>SAVE DATA</t>
  </si>
  <si>
    <t>1800contacts.com</t>
  </si>
  <si>
    <t>Coastal.com</t>
  </si>
  <si>
    <t>Discountcontactlenses.com</t>
  </si>
  <si>
    <t>EZContacts.com</t>
  </si>
  <si>
    <t>Framesdirect.com</t>
  </si>
  <si>
    <t>Lens.com</t>
  </si>
  <si>
    <t>PScontacts.com</t>
  </si>
  <si>
    <t>Visionworks.com</t>
  </si>
  <si>
    <t>WarbyParker.com</t>
  </si>
  <si>
    <t>Online Only</t>
  </si>
  <si>
    <t>Walgreens.com</t>
  </si>
  <si>
    <t>Target.com/TargetOptical.com</t>
  </si>
  <si>
    <t>SamsClub.com</t>
  </si>
  <si>
    <t>Costco.com</t>
  </si>
  <si>
    <t>&lt;-- DENIED</t>
  </si>
  <si>
    <t xml:space="preserve"> </t>
  </si>
  <si>
    <t>Model:</t>
  </si>
  <si>
    <t>Color:</t>
  </si>
  <si>
    <t>Competitor URL:</t>
  </si>
  <si>
    <t>Competitor Price:</t>
  </si>
  <si>
    <t>Total Price with lenses:</t>
  </si>
  <si>
    <t>Lens Type:</t>
  </si>
  <si>
    <t xml:space="preserve">     SV</t>
  </si>
  <si>
    <t xml:space="preserve">     RX Sun</t>
  </si>
  <si>
    <t xml:space="preserve">     Plano Sun</t>
  </si>
  <si>
    <t>INSURANCE</t>
  </si>
  <si>
    <t>Frame Allowance:</t>
  </si>
  <si>
    <t>Model</t>
  </si>
  <si>
    <t>Color</t>
  </si>
  <si>
    <t>Eyeconic frame</t>
  </si>
  <si>
    <t>Comp Price</t>
  </si>
  <si>
    <t>Price</t>
  </si>
  <si>
    <t>allowance</t>
  </si>
  <si>
    <t>PM Difference</t>
  </si>
  <si>
    <t>Price with lens</t>
  </si>
  <si>
    <t>Actual Difference:</t>
  </si>
  <si>
    <t>Allowance:</t>
  </si>
  <si>
    <t>10's</t>
  </si>
  <si>
    <t>5's</t>
  </si>
  <si>
    <t>EMAIL:</t>
  </si>
  <si>
    <t>Email Script</t>
  </si>
  <si>
    <t>Hello</t>
  </si>
  <si>
    <r>
      <t>$</t>
    </r>
    <r>
      <rPr>
        <b/>
        <sz val="10"/>
        <color rgb="FFFF0000"/>
        <rFont val="Calibri"/>
        <family val="2"/>
        <scheme val="minor"/>
      </rPr>
      <t>EYECONIC PRICE</t>
    </r>
    <r>
      <rPr>
        <sz val="10"/>
        <color rgb="FFFF0000"/>
        <rFont val="Calibri"/>
        <family val="2"/>
        <scheme val="minor"/>
      </rPr>
      <t xml:space="preserve"> - $</t>
    </r>
    <r>
      <rPr>
        <b/>
        <sz val="10"/>
        <color rgb="FFFF0000"/>
        <rFont val="Calibri"/>
        <family val="2"/>
        <scheme val="minor"/>
      </rPr>
      <t>FRAME ALLOWANCE or COMPETITOR, (IF COMPETITOR IS LESS THAN ALLOWANCE, WE WILL MATCH ALLOWANCE)</t>
    </r>
    <r>
      <rPr>
        <sz val="10"/>
        <color rgb="FFFF0000"/>
        <rFont val="Calibri"/>
        <family val="2"/>
        <scheme val="minor"/>
      </rPr>
      <t xml:space="preserve"> = $</t>
    </r>
    <r>
      <rPr>
        <b/>
        <sz val="10"/>
        <color rgb="FFFF0000"/>
        <rFont val="Calibri"/>
        <family val="2"/>
        <scheme val="minor"/>
      </rPr>
      <t>PM DIFFERENCE</t>
    </r>
  </si>
  <si>
    <t>eyeconic price</t>
  </si>
  <si>
    <t>Allow/Comp</t>
  </si>
  <si>
    <t>pm total</t>
  </si>
  <si>
    <t>|---------&gt;</t>
  </si>
  <si>
    <t>Breakdown</t>
  </si>
  <si>
    <t>With VB</t>
  </si>
  <si>
    <t>|-----</t>
  </si>
  <si>
    <t>---------------------</t>
  </si>
  <si>
    <t>--------------|</t>
  </si>
  <si>
    <t>Without VB</t>
  </si>
  <si>
    <t>Keep in mind</t>
  </si>
  <si>
    <r>
      <t>$</t>
    </r>
    <r>
      <rPr>
        <b/>
        <sz val="10"/>
        <color rgb="FFFF0000"/>
        <rFont val="Calibri"/>
        <family val="2"/>
        <scheme val="minor"/>
      </rPr>
      <t>EYECONIC</t>
    </r>
    <r>
      <rPr>
        <sz val="10"/>
        <color rgb="FFFF0000"/>
        <rFont val="Calibri"/>
        <family val="2"/>
        <scheme val="minor"/>
      </rPr>
      <t xml:space="preserve"> </t>
    </r>
    <r>
      <rPr>
        <b/>
        <sz val="10"/>
        <color rgb="FFFF0000"/>
        <rFont val="Calibri"/>
        <family val="2"/>
        <scheme val="minor"/>
      </rPr>
      <t>PRICE</t>
    </r>
    <r>
      <rPr>
        <sz val="10"/>
        <color rgb="FFFF0000"/>
        <rFont val="Calibri"/>
        <family val="2"/>
        <scheme val="minor"/>
      </rPr>
      <t xml:space="preserve"> </t>
    </r>
    <r>
      <rPr>
        <sz val="10"/>
        <color theme="1"/>
        <rFont val="Calibri"/>
        <family val="2"/>
        <scheme val="minor"/>
      </rPr>
      <t>- $</t>
    </r>
    <r>
      <rPr>
        <b/>
        <sz val="10"/>
        <color rgb="FFFF0000"/>
        <rFont val="Calibri"/>
        <family val="2"/>
        <scheme val="minor"/>
      </rPr>
      <t>FRAME</t>
    </r>
    <r>
      <rPr>
        <sz val="10"/>
        <color rgb="FFFF0000"/>
        <rFont val="Calibri"/>
        <family val="2"/>
        <scheme val="minor"/>
      </rPr>
      <t xml:space="preserve"> </t>
    </r>
    <r>
      <rPr>
        <b/>
        <sz val="10"/>
        <color rgb="FFFF0000"/>
        <rFont val="Calibri"/>
        <family val="2"/>
        <scheme val="minor"/>
      </rPr>
      <t>ALLOWANCE</t>
    </r>
    <r>
      <rPr>
        <sz val="10"/>
        <color rgb="FFFF0000"/>
        <rFont val="Calibri"/>
        <family val="2"/>
        <scheme val="minor"/>
      </rPr>
      <t xml:space="preserve"> </t>
    </r>
    <r>
      <rPr>
        <sz val="10"/>
        <color theme="1"/>
        <rFont val="Calibri"/>
        <family val="2"/>
        <scheme val="minor"/>
      </rPr>
      <t>= $</t>
    </r>
    <r>
      <rPr>
        <b/>
        <sz val="10"/>
        <color rgb="FFFF0000"/>
        <rFont val="Calibri"/>
        <family val="2"/>
        <scheme val="minor"/>
      </rPr>
      <t>TOTAL</t>
    </r>
    <r>
      <rPr>
        <sz val="10"/>
        <color rgb="FFFF0000"/>
        <rFont val="Calibri"/>
        <family val="2"/>
        <scheme val="minor"/>
      </rPr>
      <t xml:space="preserve"> </t>
    </r>
    <r>
      <rPr>
        <sz val="10"/>
        <color theme="1"/>
        <rFont val="Calibri"/>
        <family val="2"/>
        <scheme val="minor"/>
      </rPr>
      <t xml:space="preserve">- </t>
    </r>
    <r>
      <rPr>
        <b/>
        <sz val="10"/>
        <color rgb="FFFF0000"/>
        <rFont val="Calibri"/>
        <family val="2"/>
        <scheme val="minor"/>
      </rPr>
      <t>20% SAVINGS</t>
    </r>
    <r>
      <rPr>
        <sz val="10"/>
        <color theme="1"/>
        <rFont val="Calibri"/>
        <family val="2"/>
        <scheme val="minor"/>
      </rPr>
      <t xml:space="preserve"> = $</t>
    </r>
    <r>
      <rPr>
        <b/>
        <sz val="10"/>
        <color rgb="FFFF0000"/>
        <rFont val="Calibri"/>
        <family val="2"/>
        <scheme val="minor"/>
      </rPr>
      <t>TOTAL BEFORE PM</t>
    </r>
  </si>
  <si>
    <t>These auto apply to the line above</t>
  </si>
  <si>
    <t>VB</t>
  </si>
  <si>
    <t>No VB</t>
  </si>
  <si>
    <t>CL</t>
  </si>
  <si>
    <t>WebEyeCare.com</t>
  </si>
  <si>
    <t>Walmart.com</t>
  </si>
  <si>
    <t>Other Emails</t>
  </si>
  <si>
    <t>Thanks</t>
  </si>
  <si>
    <t>DENIED</t>
  </si>
  <si>
    <t>NEED MORE INFO</t>
  </si>
  <si>
    <t>ESQ Permission</t>
  </si>
  <si>
    <t>Shipping and Processing</t>
  </si>
  <si>
    <t>order already placed</t>
  </si>
  <si>
    <t>CONTACT LENSES</t>
  </si>
  <si>
    <t>FRAMES</t>
  </si>
  <si>
    <t>thanks?</t>
  </si>
  <si>
    <t>PLEASE DO NOT OPEN THIS DOCUMENT IN THE BROWSER. DOWNLOAD THE DOCUMENT OR USE THE LINK PROVIDED BY NATHAN ARCURI IN THE EMAIL.</t>
  </si>
  <si>
    <t>FRAME</t>
  </si>
  <si>
    <t>5's if under 20</t>
  </si>
  <si>
    <t>Date</t>
  </si>
  <si>
    <t>Requesting CSR</t>
  </si>
  <si>
    <t>Approved By</t>
  </si>
  <si>
    <t>Actual amount</t>
  </si>
  <si>
    <t xml:space="preserve">Brand  </t>
  </si>
  <si>
    <t xml:space="preserve">Competitor  </t>
  </si>
  <si>
    <t>Customer Email</t>
  </si>
  <si>
    <t>Nathan Arcuri</t>
  </si>
  <si>
    <t>Difference</t>
  </si>
  <si>
    <t>Actual Amount</t>
  </si>
  <si>
    <t>Frame (ie. CH5000)</t>
  </si>
  <si>
    <t>Competitor</t>
  </si>
  <si>
    <t>TEST and SHIT</t>
  </si>
  <si>
    <t>Test and Shit</t>
  </si>
  <si>
    <t>TIME</t>
  </si>
  <si>
    <t>SQ</t>
  </si>
  <si>
    <t>time for sq approval?</t>
  </si>
  <si>
    <t>WHAT IS THIS!!!??? Its so DAMN MESSY…</t>
  </si>
  <si>
    <t>promo?</t>
  </si>
  <si>
    <t>refund?</t>
  </si>
  <si>
    <t>order placed</t>
  </si>
  <si>
    <t>is $0</t>
  </si>
  <si>
    <t>sq approval?</t>
  </si>
  <si>
    <t>case notes</t>
  </si>
  <si>
    <t>promo code</t>
  </si>
  <si>
    <t>textbox</t>
  </si>
  <si>
    <t>email</t>
  </si>
  <si>
    <t>hidden?</t>
  </si>
  <si>
    <t>1 = yes</t>
  </si>
  <si>
    <t>↓  Obtain Promotion Code from SQ  ↓</t>
  </si>
  <si>
    <t>Refund difference on order.</t>
  </si>
  <si>
    <t>annual supply</t>
  </si>
  <si>
    <t>frames --&gt;</t>
  </si>
  <si>
    <t>contacts --&gt;</t>
  </si>
  <si>
    <t>sq approval</t>
  </si>
  <si>
    <t>Message?</t>
  </si>
  <si>
    <t>Attention: This message is intended only for the individual to whom it is addressed and may contain information that is confidential or privileged. If you are not the intended recipient, or the employee or person responsible for delivering it to the intended recipient, you are hereby notified that any dissemination, distribution, copying or use is strictly prohibited. If you have received this communication in error, please notify the sender immediately.</t>
  </si>
  <si>
    <t>attention thing</t>
  </si>
  <si>
    <t>frame only</t>
  </si>
  <si>
    <t>already placed</t>
  </si>
  <si>
    <t>overage after frame allowance</t>
  </si>
  <si>
    <t>member cost for frame</t>
  </si>
  <si>
    <t>comp</t>
  </si>
  <si>
    <t>20% off</t>
  </si>
  <si>
    <t xml:space="preserve">refund total if placed already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</si>
</sst>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44" formatCode="_(&quot;$&quot;* #,##0.00_);_(&quot;$&quot;* \(#,##0.00\);_(&quot;$&quot;* &quot;-&quot;??_);_(@_)"/>
    <numFmt numFmtId="164" formatCode="&quot;$&quot;#,##0.00"/>
    <numFmt numFmtId="165" formatCode="h:mm;@"/>
  </numFmts>
  <fonts count="41" x14ac:knownFonts="1">
    <font>
      <sz val="11"/>
      <color theme="1"/>
      <name val="Calibri"/>
      <family val="2"/>
      <scheme val="minor"/>
    </font>
    <font>
      <b/>
      <sz val="20"/>
      <color theme="0"/>
      <name val="Calibri"/>
      <family val="2"/>
      <scheme val="minor"/>
    </font>
    <font>
      <sz val="10"/>
      <color rgb="FF1A1A1A"/>
      <name val="Segoe UI"/>
      <family val="2"/>
    </font>
    <font>
      <u/>
      <sz val="11"/>
      <color theme="10"/>
      <name val="Calibri"/>
      <family val="2"/>
      <scheme val="minor"/>
    </font>
    <font>
      <sz val="11"/>
      <name val="Calibri"/>
      <family val="2"/>
      <scheme val="minor"/>
    </font>
    <font>
      <b/>
      <sz val="11"/>
      <color theme="1"/>
      <name val="Calibri"/>
      <family val="2"/>
      <scheme val="minor"/>
    </font>
    <font>
      <sz val="11"/>
      <color theme="2" tint="-9.9978637043366805E-2"/>
      <name val="Calibri"/>
      <family val="2"/>
      <scheme val="minor"/>
    </font>
    <font>
      <sz val="9"/>
      <color rgb="FF16325C"/>
      <name val="Arial"/>
      <family val="2"/>
    </font>
    <font>
      <b/>
      <sz val="11"/>
      <color theme="0"/>
      <name val="Calibri"/>
      <family val="2"/>
      <scheme val="minor"/>
    </font>
    <font>
      <sz val="11"/>
      <color rgb="FFFF0000"/>
      <name val="Calibri"/>
      <family val="2"/>
      <scheme val="minor"/>
    </font>
    <font>
      <b/>
      <u/>
      <sz val="11"/>
      <color rgb="FFFF0000"/>
      <name val="Calibri"/>
      <family val="2"/>
      <scheme val="minor"/>
    </font>
    <font>
      <b/>
      <sz val="24"/>
      <color theme="0"/>
      <name val="Calibri"/>
      <family val="2"/>
      <scheme val="minor"/>
    </font>
    <font>
      <b/>
      <sz val="12"/>
      <color theme="0"/>
      <name val="Calibri"/>
      <family val="2"/>
      <scheme val="minor"/>
    </font>
    <font>
      <b/>
      <sz val="22"/>
      <color theme="0"/>
      <name val="Calibri"/>
      <family val="2"/>
      <scheme val="minor"/>
    </font>
    <font>
      <sz val="11"/>
      <color theme="1"/>
      <name val="Calibri"/>
      <family val="2"/>
      <scheme val="minor"/>
    </font>
    <font>
      <sz val="8"/>
      <color rgb="FF000000"/>
      <name val="Segoe UI"/>
      <family val="2"/>
    </font>
    <font>
      <sz val="10"/>
      <name val="Calibri"/>
      <family val="2"/>
      <scheme val="minor"/>
    </font>
    <font>
      <sz val="12.1"/>
      <color theme="0"/>
      <name val="Calibri"/>
      <family val="2"/>
      <scheme val="minor"/>
    </font>
    <font>
      <b/>
      <u/>
      <sz val="11"/>
      <color rgb="FF000000"/>
      <name val="Calibri"/>
      <family val="2"/>
    </font>
    <font>
      <sz val="8"/>
      <color theme="1"/>
      <name val="Arial"/>
      <family val="2"/>
    </font>
    <font>
      <b/>
      <sz val="8"/>
      <color theme="1" tint="0.34998626667073579"/>
      <name val="Calibri"/>
      <family val="2"/>
      <scheme val="minor"/>
    </font>
    <font>
      <b/>
      <sz val="18"/>
      <color theme="1"/>
      <name val="Calibri"/>
      <family val="2"/>
      <scheme val="minor"/>
    </font>
    <font>
      <sz val="12"/>
      <color theme="1"/>
      <name val="Calibri"/>
      <family val="2"/>
      <scheme val="minor"/>
    </font>
    <font>
      <b/>
      <sz val="16"/>
      <color theme="0"/>
      <name val="Calibri"/>
      <family val="2"/>
      <scheme val="minor"/>
    </font>
    <font>
      <b/>
      <sz val="22"/>
      <color theme="1" tint="0.34998626667073579"/>
      <name val="Calibri"/>
      <family val="2"/>
      <scheme val="minor"/>
    </font>
    <font>
      <b/>
      <sz val="20"/>
      <name val="Calibri"/>
      <family val="2"/>
      <scheme val="minor"/>
    </font>
    <font>
      <u/>
      <sz val="11"/>
      <name val="Calibri"/>
      <family val="2"/>
      <scheme val="minor"/>
    </font>
    <font>
      <sz val="9"/>
      <name val="Arial"/>
      <family val="2"/>
    </font>
    <font>
      <b/>
      <sz val="11"/>
      <name val="Calibri"/>
      <family val="2"/>
      <scheme val="minor"/>
    </font>
    <font>
      <sz val="8"/>
      <name val="Arial"/>
      <family val="2"/>
    </font>
    <font>
      <b/>
      <u/>
      <sz val="14"/>
      <color rgb="FFFF0000"/>
      <name val="Calibri"/>
      <family val="2"/>
      <scheme val="minor"/>
    </font>
    <font>
      <sz val="10"/>
      <color rgb="FFFF0000"/>
      <name val="Calibri"/>
      <family val="2"/>
      <scheme val="minor"/>
    </font>
    <font>
      <b/>
      <sz val="10"/>
      <color rgb="FFFF0000"/>
      <name val="Calibri"/>
      <family val="2"/>
      <scheme val="minor"/>
    </font>
    <font>
      <sz val="10"/>
      <color theme="1"/>
      <name val="Calibri"/>
      <family val="2"/>
      <scheme val="minor"/>
    </font>
    <font>
      <sz val="11"/>
      <color theme="0"/>
      <name val="Calibri"/>
      <family val="2"/>
      <scheme val="minor"/>
    </font>
    <font>
      <b/>
      <sz val="26"/>
      <color theme="0"/>
      <name val="Calibri"/>
      <family val="2"/>
      <scheme val="minor"/>
    </font>
    <font>
      <sz val="36"/>
      <color rgb="FFFF0000"/>
      <name val="Calibri"/>
      <family val="2"/>
      <scheme val="minor"/>
    </font>
    <font>
      <sz val="10"/>
      <color rgb="FF333333"/>
      <name val="Verdana"/>
      <family val="2"/>
    </font>
    <font>
      <sz val="11"/>
      <color rgb="FF000000"/>
      <name val="Calibri"/>
      <family val="2"/>
    </font>
    <font>
      <sz val="11"/>
      <color rgb="FF0A0101"/>
      <name val="Calibri"/>
      <family val="2"/>
      <scheme val="minor"/>
    </font>
    <font>
      <b/>
      <sz val="12"/>
      <color theme="7"/>
      <name val="Calibri"/>
      <family val="2"/>
      <scheme val="minor"/>
    </font>
  </fonts>
  <fills count="17">
    <fill>
      <patternFill patternType="none"/>
    </fill>
    <fill>
      <patternFill patternType="gray125"/>
    </fill>
    <fill>
      <patternFill patternType="solid">
        <fgColor theme="4" tint="0.59999389629810485"/>
        <bgColor indexed="64"/>
      </patternFill>
    </fill>
    <fill>
      <patternFill patternType="solid">
        <fgColor theme="1" tint="0.499984740745262"/>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1"/>
        <bgColor indexed="64"/>
      </patternFill>
    </fill>
    <fill>
      <patternFill patternType="solid">
        <fgColor rgb="FF5F5F5F"/>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0" tint="-0.499984740745262"/>
        <bgColor indexed="64"/>
      </patternFill>
    </fill>
  </fills>
  <borders count="23">
    <border>
      <left/>
      <right/>
      <top/>
      <bottom/>
      <diagonal/>
    </border>
    <border>
      <left style="dotted">
        <color theme="1"/>
      </left>
      <right style="dotted">
        <color theme="1"/>
      </right>
      <top style="dotted">
        <color theme="1"/>
      </top>
      <bottom style="dotted">
        <color theme="1"/>
      </bottom>
      <diagonal/>
    </border>
    <border>
      <left style="thin">
        <color indexed="64"/>
      </left>
      <right style="thin">
        <color indexed="64"/>
      </right>
      <top style="thin">
        <color indexed="64"/>
      </top>
      <bottom style="thin">
        <color indexed="64"/>
      </bottom>
      <diagonal/>
    </border>
    <border>
      <left style="dotted">
        <color theme="1"/>
      </left>
      <right style="dotted">
        <color theme="1"/>
      </right>
      <top/>
      <bottom style="dotted">
        <color theme="1"/>
      </bottom>
      <diagonal/>
    </border>
    <border>
      <left style="dotted">
        <color indexed="64"/>
      </left>
      <right style="dotted">
        <color indexed="64"/>
      </right>
      <top style="dotted">
        <color indexed="64"/>
      </top>
      <bottom style="dotted">
        <color indexed="64"/>
      </bottom>
      <diagonal/>
    </border>
    <border>
      <left style="dotted">
        <color theme="1"/>
      </left>
      <right style="dotted">
        <color theme="1"/>
      </right>
      <top style="dotted">
        <color theme="1"/>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dotted">
        <color rgb="FFFF0000"/>
      </left>
      <right style="dotted">
        <color rgb="FFFF0000"/>
      </right>
      <top style="dotted">
        <color rgb="FFFF0000"/>
      </top>
      <bottom style="dotted">
        <color rgb="FFFF0000"/>
      </bottom>
      <diagonal/>
    </border>
    <border>
      <left style="thin">
        <color indexed="64"/>
      </left>
      <right style="thin">
        <color indexed="64"/>
      </right>
      <top style="thin">
        <color indexed="64"/>
      </top>
      <bottom/>
      <diagonal/>
    </border>
    <border>
      <left style="thin">
        <color indexed="64"/>
      </left>
      <right/>
      <top style="dotted">
        <color rgb="FFFF0000"/>
      </top>
      <bottom/>
      <diagonal/>
    </border>
    <border>
      <left/>
      <right/>
      <top style="dotted">
        <color rgb="FFFF0000"/>
      </top>
      <bottom/>
      <diagonal/>
    </border>
    <border>
      <left/>
      <right style="thin">
        <color indexed="64"/>
      </right>
      <top style="dotted">
        <color rgb="FFFF0000"/>
      </top>
      <bottom/>
      <diagonal/>
    </border>
    <border>
      <left style="thin">
        <color indexed="64"/>
      </left>
      <right style="thin">
        <color indexed="64"/>
      </right>
      <top/>
      <bottom/>
      <diagonal/>
    </border>
  </borders>
  <cellStyleXfs count="3">
    <xf numFmtId="0" fontId="0" fillId="0" borderId="0"/>
    <xf numFmtId="0" fontId="3" fillId="0" borderId="0" applyNumberFormat="0" applyFill="0" applyBorder="0" applyAlignment="0" applyProtection="0"/>
    <xf numFmtId="44" fontId="14" fillId="0" borderId="0" applyFont="0" applyFill="0" applyBorder="0" applyAlignment="0" applyProtection="0"/>
  </cellStyleXfs>
  <cellXfs count="294">
    <xf numFmtId="0" fontId="0" fillId="0" borderId="0" xfId="0"/>
    <xf numFmtId="0" fontId="0" fillId="0" borderId="0" xfId="0" applyBorder="1"/>
    <xf numFmtId="0" fontId="0" fillId="3" borderId="0" xfId="0" applyFill="1" applyBorder="1" applyProtection="1"/>
    <xf numFmtId="6" fontId="0" fillId="3" borderId="0" xfId="0" applyNumberFormat="1" applyFill="1" applyProtection="1"/>
    <xf numFmtId="0" fontId="2" fillId="3" borderId="0" xfId="0" applyFont="1" applyFill="1" applyAlignment="1" applyProtection="1">
      <alignment vertical="center"/>
    </xf>
    <xf numFmtId="0" fontId="0" fillId="2" borderId="0" xfId="0" applyFill="1" applyBorder="1" applyProtection="1"/>
    <xf numFmtId="0" fontId="0" fillId="3" borderId="0" xfId="0" applyFill="1" applyProtection="1"/>
    <xf numFmtId="0" fontId="0" fillId="3" borderId="0" xfId="0" applyFill="1" applyAlignment="1" applyProtection="1">
      <alignment horizontal="left" vertical="center"/>
    </xf>
    <xf numFmtId="164" fontId="0" fillId="2" borderId="0" xfId="0" applyNumberFormat="1" applyFill="1" applyBorder="1" applyAlignment="1" applyProtection="1">
      <alignment horizontal="right" vertical="center"/>
    </xf>
    <xf numFmtId="164" fontId="0" fillId="3" borderId="0" xfId="0" applyNumberFormat="1" applyFill="1" applyBorder="1" applyAlignment="1" applyProtection="1">
      <alignment horizontal="right" vertical="center"/>
    </xf>
    <xf numFmtId="0" fontId="4" fillId="3" borderId="0" xfId="1" applyFont="1" applyFill="1" applyBorder="1" applyAlignment="1" applyProtection="1">
      <alignment horizontal="left" vertical="center"/>
    </xf>
    <xf numFmtId="0" fontId="4" fillId="4" borderId="1" xfId="1" applyFont="1" applyFill="1" applyBorder="1" applyAlignment="1" applyProtection="1">
      <alignment horizontal="left" vertical="center"/>
      <protection locked="0"/>
    </xf>
    <xf numFmtId="164" fontId="0" fillId="4" borderId="1" xfId="0" applyNumberFormat="1" applyFill="1" applyBorder="1" applyAlignment="1" applyProtection="1">
      <alignment horizontal="right" vertical="center"/>
      <protection locked="0"/>
    </xf>
    <xf numFmtId="0" fontId="0" fillId="0" borderId="0" xfId="0" applyBorder="1" applyProtection="1"/>
    <xf numFmtId="0" fontId="4" fillId="2" borderId="0" xfId="0" applyFont="1" applyFill="1" applyBorder="1" applyProtection="1"/>
    <xf numFmtId="164" fontId="4" fillId="2" borderId="0" xfId="0" applyNumberFormat="1" applyFont="1" applyFill="1" applyBorder="1" applyAlignment="1" applyProtection="1">
      <alignment horizontal="right" vertical="center"/>
    </xf>
    <xf numFmtId="0" fontId="5" fillId="2" borderId="0" xfId="0" applyFont="1" applyFill="1" applyBorder="1" applyProtection="1"/>
    <xf numFmtId="0" fontId="5" fillId="2" borderId="0" xfId="0" applyFont="1" applyFill="1" applyBorder="1" applyAlignment="1" applyProtection="1">
      <alignment horizontal="center" vertical="center"/>
    </xf>
    <xf numFmtId="0" fontId="6" fillId="3" borderId="0" xfId="0" applyFont="1" applyFill="1" applyBorder="1" applyAlignment="1" applyProtection="1">
      <alignment horizontal="right"/>
    </xf>
    <xf numFmtId="14" fontId="6" fillId="3" borderId="0" xfId="0" applyNumberFormat="1" applyFont="1" applyFill="1" applyBorder="1" applyAlignment="1" applyProtection="1">
      <alignment horizontal="left"/>
    </xf>
    <xf numFmtId="0" fontId="3" fillId="4" borderId="5" xfId="1" applyFill="1" applyBorder="1" applyAlignment="1" applyProtection="1">
      <alignment wrapText="1"/>
      <protection locked="0"/>
    </xf>
    <xf numFmtId="0" fontId="0" fillId="4" borderId="3" xfId="0" applyFill="1" applyBorder="1" applyAlignment="1" applyProtection="1">
      <alignment horizontal="right" vertical="center"/>
      <protection locked="0"/>
    </xf>
    <xf numFmtId="0" fontId="7" fillId="0" borderId="4" xfId="0" applyFont="1" applyBorder="1" applyProtection="1">
      <protection locked="0"/>
    </xf>
    <xf numFmtId="0" fontId="8" fillId="0" borderId="0" xfId="0" applyFont="1" applyFill="1" applyBorder="1" applyAlignment="1">
      <alignment vertical="center"/>
    </xf>
    <xf numFmtId="0" fontId="0" fillId="0" borderId="0" xfId="0" applyFill="1" applyBorder="1" applyAlignment="1">
      <alignment vertical="center"/>
    </xf>
    <xf numFmtId="0" fontId="0" fillId="0" borderId="0" xfId="0" applyNumberFormat="1" applyFill="1" applyAlignment="1">
      <alignment vertical="center"/>
    </xf>
    <xf numFmtId="0" fontId="0" fillId="0" borderId="0" xfId="0" applyFill="1" applyAlignment="1">
      <alignment vertical="center"/>
    </xf>
    <xf numFmtId="0" fontId="9" fillId="5" borderId="0" xfId="0" applyFont="1" applyFill="1" applyBorder="1"/>
    <xf numFmtId="0" fontId="9" fillId="5" borderId="0" xfId="0" applyFont="1" applyFill="1" applyBorder="1" applyProtection="1"/>
    <xf numFmtId="0" fontId="1" fillId="3" borderId="0" xfId="0" applyFont="1" applyFill="1" applyBorder="1" applyAlignment="1" applyProtection="1">
      <alignment horizontal="left" vertical="center"/>
    </xf>
    <xf numFmtId="0" fontId="0" fillId="0" borderId="0" xfId="0" applyFont="1" applyFill="1" applyBorder="1"/>
    <xf numFmtId="0" fontId="0" fillId="0" borderId="0" xfId="0" applyFont="1" applyFill="1" applyBorder="1" applyProtection="1"/>
    <xf numFmtId="0" fontId="0" fillId="0" borderId="0" xfId="0" applyFont="1" applyFill="1" applyBorder="1" applyProtection="1">
      <protection locked="0"/>
    </xf>
    <xf numFmtId="0" fontId="10" fillId="0" borderId="0" xfId="0" applyFont="1" applyFill="1" applyBorder="1" applyAlignment="1">
      <alignment vertical="center"/>
    </xf>
    <xf numFmtId="0" fontId="4" fillId="0" borderId="0" xfId="1" applyFont="1" applyFill="1" applyBorder="1" applyAlignment="1" applyProtection="1">
      <alignment vertical="center"/>
      <protection locked="0"/>
    </xf>
    <xf numFmtId="0" fontId="4" fillId="0" borderId="0" xfId="0" applyFont="1" applyFill="1" applyBorder="1" applyAlignment="1" applyProtection="1">
      <alignment vertical="center" wrapText="1"/>
    </xf>
    <xf numFmtId="0" fontId="0" fillId="0" borderId="0" xfId="0" applyFont="1" applyFill="1" applyBorder="1" applyAlignment="1">
      <alignment vertical="center"/>
    </xf>
    <xf numFmtId="0" fontId="4" fillId="0" borderId="0" xfId="0" applyFont="1" applyFill="1" applyBorder="1" applyAlignment="1" applyProtection="1">
      <alignment vertical="center"/>
    </xf>
    <xf numFmtId="0" fontId="0" fillId="2" borderId="0" xfId="0" applyFill="1" applyAlignment="1" applyProtection="1">
      <alignment horizontal="left" vertical="center"/>
    </xf>
    <xf numFmtId="0" fontId="0" fillId="0" borderId="0" xfId="0" applyFill="1" applyBorder="1"/>
    <xf numFmtId="0" fontId="0" fillId="0" borderId="0" xfId="0" applyFill="1"/>
    <xf numFmtId="164" fontId="0" fillId="0" borderId="1" xfId="0" applyNumberFormat="1" applyFill="1" applyBorder="1" applyAlignment="1" applyProtection="1">
      <alignment horizontal="right" vertical="center"/>
      <protection locked="0"/>
    </xf>
    <xf numFmtId="0" fontId="4" fillId="0" borderId="0" xfId="1" applyFont="1" applyFill="1" applyBorder="1" applyAlignment="1" applyProtection="1">
      <alignment horizontal="left" vertical="center"/>
    </xf>
    <xf numFmtId="6" fontId="5" fillId="0" borderId="0" xfId="0" applyNumberFormat="1" applyFont="1" applyFill="1" applyBorder="1" applyAlignment="1" applyProtection="1">
      <alignment horizontal="right"/>
    </xf>
    <xf numFmtId="0" fontId="19" fillId="0" borderId="0" xfId="0" applyFont="1" applyFill="1" applyBorder="1" applyProtection="1">
      <protection locked="0"/>
    </xf>
    <xf numFmtId="0" fontId="9" fillId="5" borderId="0" xfId="0" quotePrefix="1" applyFont="1" applyFill="1" applyBorder="1"/>
    <xf numFmtId="0" fontId="9" fillId="5" borderId="2" xfId="0" applyFont="1" applyFill="1" applyBorder="1" applyAlignment="1">
      <alignment vertical="center"/>
    </xf>
    <xf numFmtId="0" fontId="9" fillId="5" borderId="2" xfId="0" applyFont="1" applyFill="1" applyBorder="1" applyProtection="1"/>
    <xf numFmtId="0" fontId="9" fillId="5" borderId="2" xfId="0" applyFont="1" applyFill="1" applyBorder="1"/>
    <xf numFmtId="0" fontId="0" fillId="0" borderId="0" xfId="0" applyBorder="1" applyAlignment="1">
      <alignment wrapText="1"/>
    </xf>
    <xf numFmtId="0" fontId="0" fillId="0" borderId="0" xfId="0" applyProtection="1">
      <protection locked="0"/>
    </xf>
    <xf numFmtId="0" fontId="0" fillId="10" borderId="0" xfId="0" applyFill="1" applyProtection="1">
      <protection locked="0"/>
    </xf>
    <xf numFmtId="0" fontId="0" fillId="0" borderId="0" xfId="0" applyFont="1" applyFill="1"/>
    <xf numFmtId="0" fontId="0" fillId="0" borderId="0" xfId="0" quotePrefix="1"/>
    <xf numFmtId="49" fontId="0" fillId="4" borderId="1" xfId="0" applyNumberFormat="1" applyFill="1" applyBorder="1" applyAlignment="1" applyProtection="1">
      <alignment horizontal="left" vertical="center"/>
      <protection locked="0"/>
    </xf>
    <xf numFmtId="49" fontId="0" fillId="0" borderId="0" xfId="0" applyNumberFormat="1" applyBorder="1" applyAlignment="1">
      <alignment wrapText="1"/>
    </xf>
    <xf numFmtId="0" fontId="0" fillId="13" borderId="0" xfId="0" applyFill="1" applyBorder="1"/>
    <xf numFmtId="0" fontId="0" fillId="6" borderId="15" xfId="0" applyFill="1" applyBorder="1"/>
    <xf numFmtId="0" fontId="0" fillId="13" borderId="0" xfId="0" applyFill="1" applyProtection="1">
      <protection locked="0"/>
    </xf>
    <xf numFmtId="0" fontId="0" fillId="14" borderId="0" xfId="0" applyFill="1" applyProtection="1">
      <protection locked="0"/>
    </xf>
    <xf numFmtId="0" fontId="0" fillId="0" borderId="0" xfId="0" applyProtection="1"/>
    <xf numFmtId="0" fontId="25" fillId="0" borderId="0" xfId="0" applyFont="1" applyFill="1" applyBorder="1" applyAlignment="1" applyProtection="1">
      <alignment horizontal="left" vertical="center"/>
    </xf>
    <xf numFmtId="0" fontId="4" fillId="0" borderId="2" xfId="0" applyFont="1" applyFill="1" applyBorder="1" applyProtection="1"/>
    <xf numFmtId="0" fontId="4" fillId="0" borderId="2" xfId="1" applyFont="1" applyFill="1" applyBorder="1" applyAlignment="1" applyProtection="1">
      <alignment horizontal="left" vertical="center"/>
      <protection locked="0"/>
    </xf>
    <xf numFmtId="0" fontId="26" fillId="0" borderId="2" xfId="1" applyFont="1" applyFill="1" applyBorder="1" applyAlignment="1" applyProtection="1">
      <alignment wrapText="1"/>
      <protection locked="0"/>
    </xf>
    <xf numFmtId="0" fontId="27" fillId="0" borderId="2" xfId="0" applyFont="1" applyFill="1" applyBorder="1" applyProtection="1">
      <protection locked="0"/>
    </xf>
    <xf numFmtId="164" fontId="0" fillId="0" borderId="0" xfId="2" applyNumberFormat="1" applyFont="1" applyBorder="1"/>
    <xf numFmtId="0" fontId="4" fillId="0" borderId="2" xfId="0" applyFont="1" applyFill="1" applyBorder="1" applyAlignment="1" applyProtection="1">
      <alignment horizontal="right" vertical="center"/>
      <protection locked="0"/>
    </xf>
    <xf numFmtId="0" fontId="0" fillId="2" borderId="0" xfId="0" applyFill="1" applyBorder="1"/>
    <xf numFmtId="164" fontId="0" fillId="0" borderId="0" xfId="2" applyNumberFormat="1" applyFont="1" applyBorder="1" applyAlignment="1">
      <alignment horizontal="right"/>
    </xf>
    <xf numFmtId="0" fontId="28" fillId="13" borderId="2" xfId="0" applyFont="1" applyFill="1" applyBorder="1" applyProtection="1"/>
    <xf numFmtId="0" fontId="4" fillId="0" borderId="2" xfId="0" applyFont="1" applyFill="1" applyBorder="1" applyAlignment="1" applyProtection="1">
      <alignment horizontal="left" vertical="center"/>
      <protection locked="0"/>
    </xf>
    <xf numFmtId="164" fontId="0" fillId="0" borderId="0" xfId="0" applyNumberFormat="1" applyBorder="1"/>
    <xf numFmtId="164" fontId="4" fillId="0" borderId="2" xfId="0" applyNumberFormat="1" applyFont="1" applyFill="1" applyBorder="1" applyAlignment="1" applyProtection="1">
      <alignment horizontal="right" vertical="center"/>
      <protection locked="0"/>
    </xf>
    <xf numFmtId="0" fontId="4" fillId="13" borderId="2" xfId="0" applyFont="1" applyFill="1" applyBorder="1" applyProtection="1"/>
    <xf numFmtId="164" fontId="4" fillId="13" borderId="2" xfId="0" applyNumberFormat="1" applyFont="1" applyFill="1" applyBorder="1" applyAlignment="1" applyProtection="1">
      <alignment horizontal="right" vertical="center"/>
    </xf>
    <xf numFmtId="0" fontId="28" fillId="0" borderId="2" xfId="0" applyFont="1" applyFill="1" applyBorder="1" applyProtection="1"/>
    <xf numFmtId="0" fontId="28" fillId="0" borderId="2" xfId="0" applyFont="1" applyFill="1" applyBorder="1" applyAlignment="1" applyProtection="1">
      <alignment horizontal="center" vertical="center"/>
    </xf>
    <xf numFmtId="164" fontId="28" fillId="13" borderId="2" xfId="0" applyNumberFormat="1" applyFont="1" applyFill="1" applyBorder="1" applyAlignment="1" applyProtection="1">
      <alignment horizontal="right" vertical="center"/>
    </xf>
    <xf numFmtId="0" fontId="4" fillId="0" borderId="2" xfId="0" applyFont="1" applyFill="1" applyBorder="1" applyAlignment="1" applyProtection="1">
      <alignment horizontal="left" vertical="center"/>
    </xf>
    <xf numFmtId="8" fontId="4" fillId="0" borderId="2" xfId="0" applyNumberFormat="1" applyFont="1" applyFill="1" applyBorder="1" applyProtection="1"/>
    <xf numFmtId="164" fontId="4" fillId="0" borderId="2" xfId="2" applyNumberFormat="1" applyFont="1" applyFill="1" applyBorder="1" applyProtection="1"/>
    <xf numFmtId="0" fontId="0" fillId="0" borderId="0" xfId="0" applyBorder="1" applyAlignment="1">
      <alignment horizontal="center" vertical="center"/>
    </xf>
    <xf numFmtId="6" fontId="28" fillId="0" borderId="2" xfId="0" applyNumberFormat="1" applyFont="1" applyFill="1" applyBorder="1" applyAlignment="1" applyProtection="1">
      <alignment horizontal="right"/>
    </xf>
    <xf numFmtId="0" fontId="29" fillId="0" borderId="2" xfId="0" applyFont="1" applyFill="1" applyBorder="1" applyProtection="1">
      <protection locked="0"/>
    </xf>
    <xf numFmtId="0" fontId="0" fillId="0" borderId="0" xfId="0" quotePrefix="1" applyFont="1" applyFill="1" applyBorder="1" applyProtection="1"/>
    <xf numFmtId="0" fontId="9" fillId="15" borderId="2" xfId="1" applyFont="1" applyFill="1" applyBorder="1" applyAlignment="1" applyProtection="1">
      <alignment vertical="center"/>
      <protection locked="0"/>
    </xf>
    <xf numFmtId="0" fontId="4" fillId="0" borderId="2" xfId="0" applyFont="1" applyFill="1" applyBorder="1" applyAlignment="1" applyProtection="1">
      <alignment vertical="center" wrapText="1"/>
    </xf>
    <xf numFmtId="0" fontId="9" fillId="15" borderId="2" xfId="0" applyFont="1" applyFill="1" applyBorder="1"/>
    <xf numFmtId="0" fontId="4" fillId="0" borderId="2" xfId="0" applyFont="1" applyFill="1" applyBorder="1" applyAlignment="1" applyProtection="1">
      <alignment horizontal="center" vertical="center"/>
    </xf>
    <xf numFmtId="0" fontId="31" fillId="12" borderId="0" xfId="0" applyFont="1" applyFill="1" applyAlignment="1">
      <alignment vertical="center"/>
    </xf>
    <xf numFmtId="0" fontId="9" fillId="12" borderId="0" xfId="0" applyFont="1" applyFill="1" applyBorder="1"/>
    <xf numFmtId="0" fontId="9" fillId="12" borderId="2" xfId="0" applyFont="1" applyFill="1" applyBorder="1"/>
    <xf numFmtId="0" fontId="0" fillId="0" borderId="0" xfId="0" applyBorder="1" applyAlignment="1">
      <alignment horizontal="right"/>
    </xf>
    <xf numFmtId="164" fontId="9" fillId="12" borderId="2" xfId="0" applyNumberFormat="1" applyFont="1" applyFill="1" applyBorder="1"/>
    <xf numFmtId="8" fontId="9" fillId="12" borderId="2" xfId="0" applyNumberFormat="1" applyFont="1" applyFill="1" applyBorder="1"/>
    <xf numFmtId="0" fontId="4" fillId="0" borderId="2" xfId="0" applyFont="1" applyFill="1" applyBorder="1" applyAlignment="1" applyProtection="1">
      <alignment horizontal="right" vertical="center"/>
    </xf>
    <xf numFmtId="0" fontId="0" fillId="0" borderId="0" xfId="0" quotePrefix="1" applyBorder="1"/>
    <xf numFmtId="0" fontId="9" fillId="0" borderId="2" xfId="0" applyFont="1" applyBorder="1"/>
    <xf numFmtId="0" fontId="33" fillId="12" borderId="0" xfId="0" applyFont="1" applyFill="1" applyAlignment="1">
      <alignment vertical="center"/>
    </xf>
    <xf numFmtId="0" fontId="0" fillId="12" borderId="0" xfId="0" applyFill="1" applyBorder="1"/>
    <xf numFmtId="0" fontId="16" fillId="0" borderId="2" xfId="0" applyFont="1" applyFill="1" applyBorder="1"/>
    <xf numFmtId="0" fontId="33" fillId="0" borderId="0" xfId="0" applyFont="1" applyAlignment="1">
      <alignment vertical="center"/>
    </xf>
    <xf numFmtId="0" fontId="9" fillId="6" borderId="15" xfId="0" applyFont="1" applyFill="1" applyBorder="1" applyProtection="1">
      <protection locked="0"/>
    </xf>
    <xf numFmtId="0" fontId="0" fillId="6" borderId="16" xfId="0" applyFill="1" applyBorder="1"/>
    <xf numFmtId="0" fontId="9" fillId="6" borderId="15" xfId="0" applyFont="1" applyFill="1" applyBorder="1"/>
    <xf numFmtId="0" fontId="9" fillId="6" borderId="16" xfId="0" applyFont="1" applyFill="1" applyBorder="1"/>
    <xf numFmtId="0" fontId="9" fillId="6" borderId="16" xfId="0" applyFont="1" applyFill="1" applyBorder="1" applyProtection="1">
      <protection locked="0"/>
    </xf>
    <xf numFmtId="0" fontId="0" fillId="6" borderId="14" xfId="0" applyFill="1" applyBorder="1"/>
    <xf numFmtId="0" fontId="0" fillId="6" borderId="7" xfId="0" applyFont="1" applyFill="1" applyBorder="1"/>
    <xf numFmtId="0" fontId="4" fillId="0" borderId="2" xfId="0" applyFont="1" applyFill="1" applyBorder="1"/>
    <xf numFmtId="0" fontId="9" fillId="15" borderId="2" xfId="0" applyFont="1" applyFill="1" applyBorder="1"/>
    <xf numFmtId="0" fontId="34" fillId="0" borderId="0" xfId="0" applyFont="1" applyFill="1" applyProtection="1">
      <protection locked="0"/>
    </xf>
    <xf numFmtId="0" fontId="0" fillId="0" borderId="2" xfId="0" applyBorder="1" applyProtection="1"/>
    <xf numFmtId="0" fontId="0" fillId="0" borderId="2" xfId="0" applyBorder="1"/>
    <xf numFmtId="0" fontId="9" fillId="15" borderId="22" xfId="0" applyFont="1" applyFill="1" applyBorder="1"/>
    <xf numFmtId="0" fontId="0" fillId="6" borderId="0" xfId="0" applyFill="1" applyBorder="1"/>
    <xf numFmtId="0" fontId="9" fillId="15" borderId="2" xfId="0" applyFont="1" applyFill="1" applyBorder="1" applyProtection="1"/>
    <xf numFmtId="0" fontId="34" fillId="0" borderId="0" xfId="0" applyFont="1"/>
    <xf numFmtId="0" fontId="33" fillId="6" borderId="0" xfId="0" applyFont="1" applyFill="1" applyAlignment="1">
      <alignment vertical="center"/>
    </xf>
    <xf numFmtId="0" fontId="0" fillId="0" borderId="0" xfId="0" applyAlignment="1">
      <alignment horizontal="center" vertical="center"/>
    </xf>
    <xf numFmtId="0" fontId="0" fillId="0" borderId="0" xfId="0" applyFont="1" applyFill="1" applyAlignment="1">
      <alignment horizontal="center" vertical="center"/>
    </xf>
    <xf numFmtId="0" fontId="0" fillId="6" borderId="0" xfId="0" applyFont="1" applyFill="1" applyAlignment="1">
      <alignment horizontal="center" vertical="center"/>
    </xf>
    <xf numFmtId="0" fontId="0" fillId="6" borderId="0" xfId="0" applyFill="1" applyAlignment="1">
      <alignment horizontal="center" vertical="center"/>
    </xf>
    <xf numFmtId="0" fontId="0" fillId="0" borderId="0" xfId="0" applyFill="1" applyProtection="1"/>
    <xf numFmtId="14" fontId="0" fillId="0" borderId="0" xfId="0" applyNumberFormat="1" applyBorder="1"/>
    <xf numFmtId="14" fontId="0" fillId="0" borderId="2" xfId="0" applyNumberFormat="1" applyBorder="1"/>
    <xf numFmtId="0" fontId="37" fillId="0" borderId="2" xfId="0" applyFont="1" applyBorder="1"/>
    <xf numFmtId="164" fontId="0" fillId="0" borderId="2" xfId="0" applyNumberFormat="1" applyBorder="1"/>
    <xf numFmtId="0" fontId="37" fillId="0" borderId="0" xfId="0" applyFont="1" applyBorder="1"/>
    <xf numFmtId="0" fontId="0" fillId="0" borderId="2" xfId="0" applyFill="1" applyBorder="1"/>
    <xf numFmtId="0" fontId="3" fillId="0" borderId="0" xfId="1"/>
    <xf numFmtId="0" fontId="0" fillId="0" borderId="2" xfId="0" applyBorder="1" applyAlignment="1">
      <alignment vertical="center" wrapText="1"/>
    </xf>
    <xf numFmtId="0" fontId="12" fillId="0" borderId="0" xfId="0" applyFont="1" applyFill="1" applyBorder="1" applyAlignment="1" applyProtection="1">
      <alignment vertical="center"/>
    </xf>
    <xf numFmtId="0" fontId="0" fillId="0" borderId="0" xfId="0" applyAlignment="1">
      <alignment horizontal="right" vertical="center"/>
    </xf>
    <xf numFmtId="0" fontId="0" fillId="0" borderId="0" xfId="0" applyFont="1" applyAlignment="1">
      <alignment horizontal="right" vertical="center"/>
    </xf>
    <xf numFmtId="165" fontId="0" fillId="0" borderId="0" xfId="0" applyNumberFormat="1" applyFont="1" applyAlignment="1">
      <alignment horizontal="right" vertical="center"/>
    </xf>
    <xf numFmtId="0" fontId="39" fillId="0" borderId="0" xfId="0" applyFont="1" applyAlignment="1">
      <alignment horizontal="right" vertical="center"/>
    </xf>
    <xf numFmtId="0" fontId="0" fillId="0" borderId="0" xfId="0" applyNumberFormat="1" applyAlignment="1">
      <alignment horizontal="right" vertical="center"/>
    </xf>
    <xf numFmtId="0" fontId="0" fillId="14" borderId="0" xfId="0" applyFill="1" applyBorder="1"/>
    <xf numFmtId="0" fontId="0" fillId="14" borderId="0" xfId="0" applyFill="1" applyBorder="1" applyProtection="1"/>
    <xf numFmtId="8" fontId="0" fillId="14" borderId="0" xfId="0" applyNumberFormat="1" applyFont="1" applyFill="1" applyBorder="1" applyProtection="1"/>
    <xf numFmtId="0" fontId="0" fillId="14" borderId="0" xfId="0" applyFont="1" applyFill="1" applyBorder="1" applyAlignment="1">
      <alignment vertical="center"/>
    </xf>
    <xf numFmtId="0" fontId="0" fillId="14" borderId="0" xfId="0" applyFont="1" applyFill="1" applyBorder="1"/>
    <xf numFmtId="0" fontId="0" fillId="14" borderId="0" xfId="0" applyFont="1" applyFill="1" applyBorder="1" applyProtection="1"/>
    <xf numFmtId="0" fontId="5" fillId="0" borderId="0" xfId="0" quotePrefix="1" applyFont="1" applyBorder="1" applyAlignment="1">
      <alignment horizontal="right"/>
    </xf>
    <xf numFmtId="0" fontId="0" fillId="0" borderId="0" xfId="0" applyFill="1" applyBorder="1" applyAlignment="1">
      <alignment horizontal="left"/>
    </xf>
    <xf numFmtId="0" fontId="0" fillId="0" borderId="0" xfId="0" applyBorder="1" applyAlignment="1">
      <alignment horizontal="left"/>
    </xf>
    <xf numFmtId="0" fontId="5" fillId="0" borderId="0" xfId="0" applyNumberFormat="1" applyFont="1" applyFill="1" applyBorder="1" applyAlignment="1" applyProtection="1">
      <alignment horizontal="right"/>
    </xf>
    <xf numFmtId="0" fontId="5" fillId="2" borderId="0" xfId="0" applyNumberFormat="1" applyFont="1" applyFill="1" applyBorder="1" applyAlignment="1" applyProtection="1">
      <alignment horizontal="right" vertical="center"/>
    </xf>
    <xf numFmtId="0" fontId="5" fillId="0" borderId="0" xfId="0" quotePrefix="1" applyFont="1" applyBorder="1" applyAlignment="1" applyProtection="1">
      <alignment horizontal="left"/>
      <protection locked="0"/>
    </xf>
    <xf numFmtId="0" fontId="0" fillId="0" borderId="0" xfId="0" applyBorder="1" applyProtection="1">
      <protection locked="0"/>
    </xf>
    <xf numFmtId="0" fontId="0" fillId="0" borderId="0" xfId="0" applyBorder="1" applyAlignment="1" applyProtection="1">
      <alignment horizontal="left"/>
      <protection locked="0"/>
    </xf>
    <xf numFmtId="0" fontId="0" fillId="0" borderId="0" xfId="0" applyNumberFormat="1" applyBorder="1" applyProtection="1">
      <protection locked="0"/>
    </xf>
    <xf numFmtId="0" fontId="0" fillId="0" borderId="0" xfId="0"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0" xfId="0" applyFill="1" applyBorder="1" applyProtection="1">
      <protection locked="0"/>
    </xf>
    <xf numFmtId="0" fontId="0" fillId="0" borderId="0" xfId="0" applyFill="1" applyBorder="1" applyProtection="1">
      <protection locked="0"/>
    </xf>
    <xf numFmtId="0" fontId="12" fillId="7" borderId="6" xfId="0" applyFont="1" applyFill="1" applyBorder="1" applyAlignment="1" applyProtection="1">
      <alignment vertical="center"/>
    </xf>
    <xf numFmtId="0" fontId="12" fillId="7" borderId="11" xfId="0" applyFont="1" applyFill="1" applyBorder="1" applyAlignment="1" applyProtection="1">
      <alignment vertical="center"/>
    </xf>
    <xf numFmtId="0" fontId="12" fillId="7" borderId="7" xfId="0" applyFont="1" applyFill="1" applyBorder="1" applyAlignment="1" applyProtection="1">
      <alignment vertical="center"/>
    </xf>
    <xf numFmtId="0" fontId="12" fillId="7" borderId="12" xfId="0" applyFont="1" applyFill="1" applyBorder="1" applyAlignment="1" applyProtection="1">
      <alignment vertical="center"/>
    </xf>
    <xf numFmtId="0" fontId="12" fillId="7" borderId="11" xfId="0" applyFont="1" applyFill="1" applyBorder="1" applyAlignment="1" applyProtection="1">
      <alignment horizontal="right" vertical="center"/>
    </xf>
    <xf numFmtId="0" fontId="12" fillId="7" borderId="13" xfId="0" applyFont="1" applyFill="1" applyBorder="1" applyAlignment="1" applyProtection="1">
      <alignment horizontal="right" vertical="center"/>
    </xf>
    <xf numFmtId="0" fontId="12" fillId="7" borderId="12" xfId="0" applyFont="1" applyFill="1" applyBorder="1" applyAlignment="1" applyProtection="1">
      <alignment horizontal="right" vertical="center"/>
    </xf>
    <xf numFmtId="0" fontId="12" fillId="7" borderId="14" xfId="0" applyFont="1" applyFill="1" applyBorder="1" applyAlignment="1" applyProtection="1">
      <alignment horizontal="right" vertical="center"/>
    </xf>
    <xf numFmtId="0" fontId="0" fillId="6" borderId="6" xfId="0" applyFill="1" applyBorder="1"/>
    <xf numFmtId="0" fontId="0" fillId="6" borderId="11" xfId="0" applyFill="1" applyBorder="1"/>
    <xf numFmtId="0" fontId="0" fillId="6" borderId="13" xfId="0" applyFill="1" applyBorder="1"/>
    <xf numFmtId="0" fontId="0" fillId="6" borderId="7" xfId="0" applyFill="1" applyBorder="1"/>
    <xf numFmtId="0" fontId="0" fillId="6" borderId="12" xfId="0" applyFill="1" applyBorder="1"/>
    <xf numFmtId="0" fontId="0" fillId="6" borderId="14" xfId="0" applyFill="1" applyBorder="1"/>
    <xf numFmtId="0" fontId="23" fillId="9" borderId="8" xfId="0" applyFont="1" applyFill="1" applyBorder="1" applyAlignment="1" applyProtection="1">
      <alignment horizontal="center" vertical="center"/>
    </xf>
    <xf numFmtId="0" fontId="23" fillId="9" borderId="9" xfId="0" applyFont="1" applyFill="1" applyBorder="1" applyAlignment="1" applyProtection="1">
      <alignment horizontal="center" vertical="center"/>
    </xf>
    <xf numFmtId="0" fontId="23" fillId="9" borderId="10" xfId="0" applyFont="1" applyFill="1" applyBorder="1" applyAlignment="1" applyProtection="1">
      <alignment horizontal="center" vertical="center"/>
    </xf>
    <xf numFmtId="0" fontId="12" fillId="16" borderId="6" xfId="0" applyFont="1" applyFill="1" applyBorder="1" applyAlignment="1" applyProtection="1">
      <alignment vertical="center"/>
    </xf>
    <xf numFmtId="0" fontId="12" fillId="16" borderId="11" xfId="0" applyFont="1" applyFill="1" applyBorder="1" applyAlignment="1" applyProtection="1">
      <alignment vertical="center"/>
    </xf>
    <xf numFmtId="0" fontId="12" fillId="16" borderId="13" xfId="0" applyFont="1" applyFill="1" applyBorder="1" applyAlignment="1" applyProtection="1">
      <alignment vertical="center"/>
    </xf>
    <xf numFmtId="0" fontId="12" fillId="16" borderId="7" xfId="0" applyFont="1" applyFill="1" applyBorder="1" applyAlignment="1" applyProtection="1">
      <alignment vertical="center"/>
    </xf>
    <xf numFmtId="0" fontId="12" fillId="16" borderId="12" xfId="0" applyFont="1" applyFill="1" applyBorder="1" applyAlignment="1" applyProtection="1">
      <alignment vertical="center"/>
    </xf>
    <xf numFmtId="0" fontId="12" fillId="16" borderId="14" xfId="0" applyFont="1" applyFill="1" applyBorder="1" applyAlignment="1" applyProtection="1">
      <alignment vertical="center"/>
    </xf>
    <xf numFmtId="0" fontId="11" fillId="16" borderId="6" xfId="0" applyFont="1" applyFill="1" applyBorder="1" applyAlignment="1">
      <alignment horizontal="center" vertical="center"/>
    </xf>
    <xf numFmtId="0" fontId="11" fillId="16" borderId="11" xfId="0"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7" xfId="0" applyFont="1" applyFill="1" applyBorder="1" applyAlignment="1">
      <alignment horizontal="center" vertical="center"/>
    </xf>
    <xf numFmtId="0" fontId="11" fillId="16" borderId="12" xfId="0" applyFont="1" applyFill="1" applyBorder="1" applyAlignment="1">
      <alignment horizontal="center" vertical="center"/>
    </xf>
    <xf numFmtId="0" fontId="11" fillId="16" borderId="14" xfId="0" applyFont="1" applyFill="1" applyBorder="1" applyAlignment="1">
      <alignment horizontal="center" vertical="center"/>
    </xf>
    <xf numFmtId="0" fontId="12" fillId="7" borderId="6" xfId="0" applyFont="1" applyFill="1" applyBorder="1" applyAlignment="1" applyProtection="1">
      <alignment horizontal="left" vertical="center"/>
    </xf>
    <xf numFmtId="0" fontId="12" fillId="7" borderId="11" xfId="0" applyFont="1" applyFill="1" applyBorder="1" applyAlignment="1" applyProtection="1">
      <alignment horizontal="left" vertical="center"/>
    </xf>
    <xf numFmtId="0" fontId="12" fillId="7" borderId="7" xfId="0" applyFont="1" applyFill="1" applyBorder="1" applyAlignment="1" applyProtection="1">
      <alignment horizontal="left" vertical="center"/>
    </xf>
    <xf numFmtId="0" fontId="12" fillId="7" borderId="12" xfId="0" applyFont="1" applyFill="1" applyBorder="1" applyAlignment="1" applyProtection="1">
      <alignment horizontal="left" vertical="center"/>
    </xf>
    <xf numFmtId="0" fontId="13" fillId="7" borderId="6" xfId="0" applyFont="1" applyFill="1" applyBorder="1" applyAlignment="1" applyProtection="1">
      <alignment horizontal="center" vertical="center"/>
    </xf>
    <xf numFmtId="0" fontId="13" fillId="7" borderId="11" xfId="0" applyFont="1" applyFill="1" applyBorder="1" applyAlignment="1" applyProtection="1">
      <alignment horizontal="center" vertical="center"/>
    </xf>
    <xf numFmtId="0" fontId="13" fillId="7" borderId="7" xfId="0" applyFont="1" applyFill="1" applyBorder="1" applyAlignment="1" applyProtection="1">
      <alignment horizontal="center" vertical="center"/>
    </xf>
    <xf numFmtId="0" fontId="13" fillId="7" borderId="12" xfId="0" applyFont="1" applyFill="1" applyBorder="1" applyAlignment="1" applyProtection="1">
      <alignment horizontal="center" vertical="center"/>
    </xf>
    <xf numFmtId="0" fontId="20" fillId="7" borderId="11" xfId="0" applyFont="1" applyFill="1" applyBorder="1" applyAlignment="1" applyProtection="1">
      <alignment horizontal="center" vertical="center"/>
      <protection locked="0"/>
    </xf>
    <xf numFmtId="0" fontId="20" fillId="7" borderId="12"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xf>
    <xf numFmtId="0" fontId="13" fillId="7" borderId="14" xfId="0" applyFont="1" applyFill="1" applyBorder="1" applyAlignment="1" applyProtection="1">
      <alignment horizontal="center" vertical="center"/>
    </xf>
    <xf numFmtId="0" fontId="12" fillId="11" borderId="6" xfId="0" applyFont="1" applyFill="1" applyBorder="1" applyAlignment="1" applyProtection="1">
      <alignment horizontal="center" vertical="center"/>
      <protection locked="0"/>
    </xf>
    <xf numFmtId="0" fontId="12" fillId="11" borderId="11" xfId="0" applyFont="1" applyFill="1" applyBorder="1" applyAlignment="1" applyProtection="1">
      <alignment horizontal="center" vertical="center"/>
      <protection locked="0"/>
    </xf>
    <xf numFmtId="0" fontId="12" fillId="11" borderId="13" xfId="0" applyFont="1" applyFill="1" applyBorder="1" applyAlignment="1" applyProtection="1">
      <alignment horizontal="center" vertical="center"/>
      <protection locked="0"/>
    </xf>
    <xf numFmtId="0" fontId="12" fillId="11" borderId="7" xfId="0" applyFont="1" applyFill="1" applyBorder="1" applyAlignment="1" applyProtection="1">
      <alignment horizontal="center" vertical="center"/>
      <protection locked="0"/>
    </xf>
    <xf numFmtId="0" fontId="12" fillId="11" borderId="12" xfId="0" applyFont="1" applyFill="1" applyBorder="1" applyAlignment="1" applyProtection="1">
      <alignment horizontal="center" vertical="center"/>
      <protection locked="0"/>
    </xf>
    <xf numFmtId="0" fontId="12" fillId="11" borderId="14" xfId="0" applyFont="1" applyFill="1" applyBorder="1" applyAlignment="1" applyProtection="1">
      <alignment horizontal="center" vertical="center"/>
      <protection locked="0"/>
    </xf>
    <xf numFmtId="0" fontId="0" fillId="9" borderId="6" xfId="0" applyFill="1" applyBorder="1"/>
    <xf numFmtId="0" fontId="0" fillId="9" borderId="11" xfId="0" applyFill="1" applyBorder="1"/>
    <xf numFmtId="0" fontId="0" fillId="9" borderId="13" xfId="0" applyFill="1" applyBorder="1"/>
    <xf numFmtId="0" fontId="0" fillId="9" borderId="7" xfId="0" applyFill="1" applyBorder="1"/>
    <xf numFmtId="0" fontId="0" fillId="9" borderId="12" xfId="0" applyFill="1" applyBorder="1"/>
    <xf numFmtId="0" fontId="0" fillId="9" borderId="14" xfId="0" applyFill="1" applyBorder="1"/>
    <xf numFmtId="0" fontId="12" fillId="7" borderId="13" xfId="0" applyFont="1" applyFill="1" applyBorder="1" applyAlignment="1" applyProtection="1">
      <alignment vertical="center"/>
    </xf>
    <xf numFmtId="0" fontId="12" fillId="7" borderId="14" xfId="0" applyFont="1" applyFill="1" applyBorder="1" applyAlignment="1" applyProtection="1">
      <alignment vertical="center"/>
    </xf>
    <xf numFmtId="0" fontId="23" fillId="6" borderId="2" xfId="0" applyFont="1" applyFill="1" applyBorder="1" applyAlignment="1">
      <alignment horizontal="center" vertical="center"/>
    </xf>
    <xf numFmtId="0" fontId="23" fillId="6" borderId="18" xfId="0" applyFont="1" applyFill="1" applyBorder="1" applyAlignment="1">
      <alignment horizontal="center" vertical="center"/>
    </xf>
    <xf numFmtId="6" fontId="12" fillId="7" borderId="11" xfId="0" applyNumberFormat="1" applyFont="1" applyFill="1" applyBorder="1" applyAlignment="1" applyProtection="1">
      <alignment horizontal="right" vertical="center"/>
    </xf>
    <xf numFmtId="0" fontId="12" fillId="7" borderId="19" xfId="0" applyFont="1" applyFill="1" applyBorder="1" applyAlignment="1" applyProtection="1">
      <alignment vertical="center"/>
    </xf>
    <xf numFmtId="0" fontId="12" fillId="7" borderId="20" xfId="0" applyFont="1" applyFill="1" applyBorder="1" applyAlignment="1" applyProtection="1">
      <alignment vertical="center"/>
    </xf>
    <xf numFmtId="0" fontId="12" fillId="7" borderId="20" xfId="0" applyFont="1" applyFill="1" applyBorder="1" applyAlignment="1" applyProtection="1">
      <alignment horizontal="right" vertical="center"/>
    </xf>
    <xf numFmtId="0" fontId="12" fillId="7" borderId="21" xfId="0" applyFont="1" applyFill="1" applyBorder="1" applyAlignment="1" applyProtection="1">
      <alignment horizontal="right" vertical="center"/>
    </xf>
    <xf numFmtId="0" fontId="35" fillId="9" borderId="11" xfId="0" applyFont="1" applyFill="1" applyBorder="1" applyAlignment="1">
      <alignment horizontal="center" vertical="center"/>
    </xf>
    <xf numFmtId="0" fontId="35" fillId="9" borderId="13" xfId="0" applyFont="1" applyFill="1" applyBorder="1" applyAlignment="1">
      <alignment horizontal="center" vertical="center"/>
    </xf>
    <xf numFmtId="0" fontId="35" fillId="9" borderId="12" xfId="0" applyFont="1" applyFill="1" applyBorder="1" applyAlignment="1">
      <alignment horizontal="center" vertical="center"/>
    </xf>
    <xf numFmtId="0" fontId="35" fillId="9" borderId="14" xfId="0" applyFont="1" applyFill="1" applyBorder="1" applyAlignment="1">
      <alignment horizontal="center" vertical="center"/>
    </xf>
    <xf numFmtId="0" fontId="12" fillId="7" borderId="2" xfId="0" applyFont="1" applyFill="1" applyBorder="1" applyAlignment="1" applyProtection="1">
      <alignment vertical="center"/>
    </xf>
    <xf numFmtId="0" fontId="1" fillId="9" borderId="8" xfId="0" applyFont="1" applyFill="1" applyBorder="1" applyAlignment="1" applyProtection="1">
      <alignment horizontal="center" vertical="center"/>
    </xf>
    <xf numFmtId="0" fontId="1" fillId="9" borderId="9" xfId="0" applyFont="1" applyFill="1" applyBorder="1" applyAlignment="1" applyProtection="1">
      <alignment horizontal="center" vertical="center"/>
    </xf>
    <xf numFmtId="0" fontId="1" fillId="9" borderId="11" xfId="0" applyFont="1" applyFill="1" applyBorder="1" applyAlignment="1" applyProtection="1">
      <alignment horizontal="center" vertical="center"/>
    </xf>
    <xf numFmtId="0" fontId="1" fillId="9" borderId="10" xfId="0" applyFont="1" applyFill="1" applyBorder="1" applyAlignment="1" applyProtection="1">
      <alignment horizontal="center" vertical="center"/>
    </xf>
    <xf numFmtId="0" fontId="0" fillId="6" borderId="15" xfId="0" applyFill="1" applyBorder="1"/>
    <xf numFmtId="0" fontId="0" fillId="6" borderId="16" xfId="0" applyFill="1" applyBorder="1"/>
    <xf numFmtId="0" fontId="22" fillId="13" borderId="2" xfId="0" applyFont="1" applyFill="1" applyBorder="1" applyAlignment="1">
      <alignment horizontal="center" vertical="center"/>
    </xf>
    <xf numFmtId="0" fontId="22" fillId="12" borderId="2" xfId="0" applyFont="1" applyFill="1" applyBorder="1" applyAlignment="1">
      <alignment horizontal="center" vertical="center"/>
    </xf>
    <xf numFmtId="0" fontId="21" fillId="13" borderId="2" xfId="0" applyFont="1" applyFill="1" applyBorder="1" applyAlignment="1">
      <alignment horizontal="center" vertical="center"/>
    </xf>
    <xf numFmtId="0" fontId="0" fillId="0" borderId="2" xfId="0" applyBorder="1" applyAlignment="1" applyProtection="1">
      <alignment horizontal="right"/>
    </xf>
    <xf numFmtId="0" fontId="12" fillId="7" borderId="15" xfId="0" applyFont="1" applyFill="1" applyBorder="1" applyAlignment="1" applyProtection="1">
      <alignment vertical="center"/>
    </xf>
    <xf numFmtId="0" fontId="12" fillId="7" borderId="0" xfId="0" applyFont="1" applyFill="1" applyBorder="1" applyAlignment="1" applyProtection="1">
      <alignment vertical="center"/>
    </xf>
    <xf numFmtId="0" fontId="12" fillId="7" borderId="16" xfId="0" applyFont="1" applyFill="1" applyBorder="1" applyAlignment="1" applyProtection="1">
      <alignment vertical="center"/>
    </xf>
    <xf numFmtId="0" fontId="17" fillId="11" borderId="17" xfId="0" applyFont="1" applyFill="1" applyBorder="1" applyAlignment="1" applyProtection="1">
      <alignment horizontal="center" vertical="center"/>
    </xf>
    <xf numFmtId="0" fontId="23" fillId="9" borderId="11" xfId="0" applyFont="1" applyFill="1" applyBorder="1" applyAlignment="1" applyProtection="1">
      <alignment horizontal="center" vertical="center"/>
    </xf>
    <xf numFmtId="0" fontId="1" fillId="3" borderId="0" xfId="0" applyFont="1" applyFill="1" applyBorder="1" applyAlignment="1" applyProtection="1">
      <alignment horizontal="left" vertical="center"/>
    </xf>
    <xf numFmtId="0" fontId="12" fillId="11" borderId="6" xfId="0" applyFont="1" applyFill="1" applyBorder="1" applyAlignment="1">
      <alignment horizontal="center" vertical="center"/>
    </xf>
    <xf numFmtId="0" fontId="12" fillId="11" borderId="11" xfId="0" applyFont="1" applyFill="1" applyBorder="1" applyAlignment="1">
      <alignment horizontal="center" vertical="center"/>
    </xf>
    <xf numFmtId="0" fontId="12" fillId="11" borderId="13" xfId="0" applyFont="1" applyFill="1" applyBorder="1" applyAlignment="1">
      <alignment horizontal="center" vertical="center"/>
    </xf>
    <xf numFmtId="0" fontId="12" fillId="11" borderId="7" xfId="0" applyFont="1" applyFill="1" applyBorder="1" applyAlignment="1">
      <alignment horizontal="center" vertical="center"/>
    </xf>
    <xf numFmtId="0" fontId="12" fillId="11" borderId="12" xfId="0" applyFont="1" applyFill="1" applyBorder="1" applyAlignment="1">
      <alignment horizontal="center" vertical="center"/>
    </xf>
    <xf numFmtId="0" fontId="12" fillId="11" borderId="14" xfId="0" applyFont="1" applyFill="1" applyBorder="1" applyAlignment="1">
      <alignment horizontal="center" vertical="center"/>
    </xf>
    <xf numFmtId="0" fontId="23" fillId="8" borderId="8" xfId="0" applyFont="1" applyFill="1" applyBorder="1" applyAlignment="1" applyProtection="1">
      <alignment horizontal="center" vertical="center"/>
    </xf>
    <xf numFmtId="0" fontId="23" fillId="8" borderId="9" xfId="0" applyFont="1" applyFill="1" applyBorder="1" applyAlignment="1" applyProtection="1">
      <alignment horizontal="center" vertical="center"/>
    </xf>
    <xf numFmtId="0" fontId="23" fillId="8" borderId="10" xfId="0" applyFont="1" applyFill="1" applyBorder="1" applyAlignment="1" applyProtection="1">
      <alignment horizontal="center" vertical="center"/>
    </xf>
    <xf numFmtId="0" fontId="12" fillId="7" borderId="15" xfId="0" applyFont="1" applyFill="1" applyBorder="1" applyAlignment="1" applyProtection="1">
      <alignment horizontal="left" vertical="center"/>
    </xf>
    <xf numFmtId="0" fontId="12" fillId="7" borderId="0" xfId="0" applyFont="1" applyFill="1" applyBorder="1" applyAlignment="1" applyProtection="1">
      <alignment horizontal="left" vertical="center"/>
    </xf>
    <xf numFmtId="0" fontId="13" fillId="7" borderId="15" xfId="0" applyFont="1" applyFill="1" applyBorder="1" applyAlignment="1" applyProtection="1">
      <alignment horizontal="center" vertical="center"/>
    </xf>
    <xf numFmtId="0" fontId="13" fillId="7" borderId="0" xfId="0" applyFont="1" applyFill="1" applyBorder="1" applyAlignment="1" applyProtection="1">
      <alignment horizontal="center" vertical="center"/>
    </xf>
    <xf numFmtId="0" fontId="20" fillId="7" borderId="0" xfId="0" applyFont="1" applyFill="1" applyBorder="1" applyAlignment="1" applyProtection="1">
      <alignment horizontal="center" vertical="center"/>
      <protection locked="0"/>
    </xf>
    <xf numFmtId="0" fontId="13" fillId="7" borderId="16" xfId="0" applyFont="1" applyFill="1" applyBorder="1" applyAlignment="1" applyProtection="1">
      <alignment horizontal="center" vertical="center"/>
    </xf>
    <xf numFmtId="0" fontId="23" fillId="8" borderId="11" xfId="0" applyFont="1" applyFill="1" applyBorder="1" applyAlignment="1" applyProtection="1">
      <alignment horizontal="center" vertical="center"/>
    </xf>
    <xf numFmtId="0" fontId="23" fillId="7" borderId="11" xfId="0" applyFont="1" applyFill="1" applyBorder="1" applyAlignment="1" applyProtection="1">
      <alignment horizontal="left" vertical="center"/>
    </xf>
    <xf numFmtId="0" fontId="23" fillId="7" borderId="12" xfId="0" applyFont="1" applyFill="1" applyBorder="1" applyAlignment="1" applyProtection="1">
      <alignment horizontal="left" vertical="center"/>
    </xf>
    <xf numFmtId="0" fontId="23" fillId="7" borderId="13" xfId="0" applyFont="1" applyFill="1" applyBorder="1" applyAlignment="1" applyProtection="1">
      <alignment horizontal="left" vertical="center"/>
    </xf>
    <xf numFmtId="0" fontId="23" fillId="7" borderId="14" xfId="0" applyFont="1" applyFill="1" applyBorder="1" applyAlignment="1" applyProtection="1">
      <alignment horizontal="left" vertical="center"/>
    </xf>
    <xf numFmtId="0" fontId="40" fillId="7" borderId="0" xfId="0" applyFont="1" applyFill="1" applyBorder="1" applyAlignment="1" applyProtection="1">
      <alignment horizontal="center" vertical="center"/>
    </xf>
    <xf numFmtId="0" fontId="40" fillId="7" borderId="12" xfId="0" applyFont="1" applyFill="1" applyBorder="1" applyAlignment="1" applyProtection="1">
      <alignment horizontal="center" vertical="center"/>
    </xf>
    <xf numFmtId="0" fontId="35" fillId="8" borderId="2" xfId="0" applyFont="1" applyFill="1" applyBorder="1" applyAlignment="1" applyProtection="1">
      <alignment horizontal="center" vertical="center"/>
    </xf>
    <xf numFmtId="0" fontId="23" fillId="6" borderId="6" xfId="0" applyFont="1" applyFill="1" applyBorder="1" applyAlignment="1">
      <alignment horizontal="center" vertical="center"/>
    </xf>
    <xf numFmtId="0" fontId="23" fillId="6" borderId="13" xfId="0" applyFont="1" applyFill="1" applyBorder="1" applyAlignment="1">
      <alignment horizontal="center" vertical="center"/>
    </xf>
    <xf numFmtId="0" fontId="23" fillId="6" borderId="15" xfId="0" applyFont="1" applyFill="1" applyBorder="1" applyAlignment="1">
      <alignment horizontal="center" vertical="center"/>
    </xf>
    <xf numFmtId="0" fontId="23" fillId="6" borderId="16" xfId="0" applyFont="1" applyFill="1" applyBorder="1" applyAlignment="1">
      <alignment horizontal="center" vertical="center"/>
    </xf>
    <xf numFmtId="0" fontId="11" fillId="16" borderId="6" xfId="0" applyFont="1" applyFill="1" applyBorder="1" applyAlignment="1" applyProtection="1">
      <alignment horizontal="center" vertical="center"/>
    </xf>
    <xf numFmtId="0" fontId="11" fillId="16" borderId="11" xfId="0" applyFont="1" applyFill="1" applyBorder="1" applyAlignment="1" applyProtection="1">
      <alignment horizontal="center" vertical="center"/>
    </xf>
    <xf numFmtId="0" fontId="11" fillId="16" borderId="13" xfId="0" applyFont="1" applyFill="1" applyBorder="1" applyAlignment="1" applyProtection="1">
      <alignment horizontal="center" vertical="center"/>
    </xf>
    <xf numFmtId="0" fontId="11" fillId="16" borderId="7" xfId="0" applyFont="1" applyFill="1" applyBorder="1" applyAlignment="1" applyProtection="1">
      <alignment horizontal="center" vertical="center"/>
    </xf>
    <xf numFmtId="0" fontId="11" fillId="16" borderId="12" xfId="0" applyFont="1" applyFill="1" applyBorder="1" applyAlignment="1" applyProtection="1">
      <alignment horizontal="center" vertical="center"/>
    </xf>
    <xf numFmtId="0" fontId="11" fillId="16" borderId="14" xfId="0" applyFont="1" applyFill="1" applyBorder="1" applyAlignment="1" applyProtection="1">
      <alignment horizontal="center" vertical="center"/>
    </xf>
    <xf numFmtId="0" fontId="12" fillId="7" borderId="0" xfId="0" applyFont="1" applyFill="1" applyBorder="1" applyAlignment="1" applyProtection="1">
      <alignment horizontal="right" vertical="center"/>
    </xf>
    <xf numFmtId="0" fontId="12" fillId="7" borderId="16" xfId="0" applyFont="1" applyFill="1" applyBorder="1" applyAlignment="1" applyProtection="1">
      <alignment horizontal="right" vertical="center"/>
    </xf>
    <xf numFmtId="0" fontId="24" fillId="7" borderId="11" xfId="0" applyFont="1" applyFill="1" applyBorder="1" applyAlignment="1" applyProtection="1">
      <alignment horizontal="center" vertical="center"/>
      <protection locked="0"/>
    </xf>
    <xf numFmtId="0" fontId="24" fillId="7" borderId="12" xfId="0" applyFont="1" applyFill="1" applyBorder="1" applyAlignment="1" applyProtection="1">
      <alignment horizontal="center" vertical="center"/>
      <protection locked="0"/>
    </xf>
    <xf numFmtId="0" fontId="17" fillId="7" borderId="6" xfId="0" applyFont="1" applyFill="1" applyBorder="1" applyAlignment="1" applyProtection="1">
      <alignment horizontal="left" vertical="center"/>
    </xf>
    <xf numFmtId="0" fontId="17" fillId="7" borderId="11" xfId="0" applyFont="1" applyFill="1" applyBorder="1" applyAlignment="1" applyProtection="1">
      <alignment horizontal="left" vertical="center"/>
    </xf>
    <xf numFmtId="0" fontId="17" fillId="7" borderId="7" xfId="0" applyFont="1" applyFill="1" applyBorder="1" applyAlignment="1" applyProtection="1">
      <alignment horizontal="left" vertical="center"/>
    </xf>
    <xf numFmtId="0" fontId="17" fillId="7" borderId="12" xfId="0" applyFont="1" applyFill="1" applyBorder="1" applyAlignment="1" applyProtection="1">
      <alignment horizontal="left" vertical="center"/>
    </xf>
    <xf numFmtId="0" fontId="30" fillId="15" borderId="2" xfId="0" applyNumberFormat="1" applyFont="1" applyFill="1" applyBorder="1" applyAlignment="1">
      <alignment horizontal="center" vertical="center"/>
    </xf>
    <xf numFmtId="0" fontId="4" fillId="0" borderId="2" xfId="0" applyFont="1" applyFill="1" applyBorder="1" applyAlignment="1">
      <alignment vertical="center"/>
    </xf>
    <xf numFmtId="0" fontId="4" fillId="0" borderId="2" xfId="0" applyFont="1" applyFill="1" applyBorder="1"/>
    <xf numFmtId="0" fontId="36" fillId="0" borderId="0" xfId="0" applyFont="1" applyAlignment="1">
      <alignment horizontal="center" vertical="center" wrapText="1"/>
    </xf>
    <xf numFmtId="0" fontId="0" fillId="10" borderId="0" xfId="0" applyFill="1" applyProtection="1">
      <protection locked="0"/>
    </xf>
    <xf numFmtId="0" fontId="0" fillId="0" borderId="0" xfId="0" applyFont="1" applyFill="1" applyAlignment="1">
      <alignment horizontal="center" vertical="center"/>
    </xf>
    <xf numFmtId="0" fontId="5" fillId="0" borderId="0" xfId="0" applyFont="1" applyBorder="1"/>
    <xf numFmtId="164" fontId="5" fillId="0" borderId="0" xfId="0" applyNumberFormat="1" applyFont="1" applyBorder="1"/>
    <xf numFmtId="8" fontId="5" fillId="0" borderId="0" xfId="0" applyNumberFormat="1" applyFont="1" applyBorder="1"/>
    <xf numFmtId="0" fontId="5" fillId="0" borderId="0" xfId="0" applyFont="1" applyFill="1" applyBorder="1"/>
    <xf numFmtId="164" fontId="5" fillId="0" borderId="0" xfId="0" applyNumberFormat="1" applyFont="1" applyFill="1" applyBorder="1"/>
    <xf numFmtId="8" fontId="5" fillId="0" borderId="0" xfId="0" applyNumberFormat="1" applyFont="1" applyFill="1" applyBorder="1"/>
  </cellXfs>
  <cellStyles count="3">
    <cellStyle name="Currency" xfId="2" builtinId="4"/>
    <cellStyle name="Hyperlink" xfId="1" builtinId="8"/>
    <cellStyle name="Normal" xfId="0" builtinId="0"/>
  </cellStyles>
  <dxfs count="12">
    <dxf>
      <border>
        <left style="dashed">
          <color rgb="FFFF0000"/>
        </left>
        <right style="dashed">
          <color rgb="FFFF0000"/>
        </right>
        <top style="dashed">
          <color rgb="FFFF0000"/>
        </top>
        <bottom style="dashed">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val="0"/>
        <i val="0"/>
        <color theme="0"/>
      </font>
      <border>
        <left style="thin">
          <color auto="1"/>
        </left>
        <right style="thin">
          <color auto="1"/>
        </right>
        <top style="thin">
          <color auto="1"/>
        </top>
        <bottom style="thin">
          <color auto="1"/>
        </bottom>
        <vertical/>
        <horizontal/>
      </border>
    </dxf>
    <dxf>
      <font>
        <color rgb="FFFF0000"/>
      </font>
      <fill>
        <patternFill>
          <bgColor rgb="FFFF0000"/>
        </patternFill>
      </fill>
    </dxf>
    <dxf>
      <font>
        <color rgb="FF00B050"/>
      </font>
      <fill>
        <patternFill>
          <bgColor rgb="FF00B050"/>
        </patternFill>
      </fill>
    </dxf>
    <dxf>
      <font>
        <color rgb="FF00B050"/>
      </font>
      <fill>
        <patternFill>
          <bgColor rgb="FF00B050"/>
        </patternFill>
      </fill>
    </dxf>
    <dxf>
      <font>
        <color rgb="FFFF0000"/>
      </font>
      <fill>
        <patternFill>
          <bgColor rgb="FFFF0000"/>
        </patternFill>
      </fill>
    </dxf>
    <dxf>
      <font>
        <b/>
        <i val="0"/>
        <color rgb="FFFF0000"/>
      </font>
      <border>
        <left style="thin">
          <color rgb="FFFF0000"/>
        </left>
        <right style="thin">
          <color rgb="FFFF0000"/>
        </right>
        <top style="thin">
          <color rgb="FFFF0000"/>
        </top>
        <bottom style="thin">
          <color rgb="FFFF0000"/>
        </bottom>
        <vertical/>
        <horizontal/>
      </border>
    </dxf>
    <dxf>
      <font>
        <b val="0"/>
        <i val="0"/>
        <color theme="0"/>
      </font>
      <border>
        <left style="thin">
          <color auto="1"/>
        </left>
        <right style="thin">
          <color auto="1"/>
        </right>
        <top style="thin">
          <color auto="1"/>
        </top>
        <bottom style="thin">
          <color auto="1"/>
        </bottom>
        <vertical/>
        <horizontal/>
      </border>
    </dxf>
    <dxf>
      <fill>
        <patternFill>
          <bgColor rgb="FFFF0000"/>
        </patternFill>
      </fill>
    </dxf>
    <dxf>
      <font>
        <color rgb="FF00B050"/>
      </font>
      <fill>
        <patternFill>
          <bgColor rgb="FF00B050"/>
        </patternFill>
      </fill>
    </dxf>
    <dxf>
      <font>
        <color rgb="FFFF0000"/>
      </font>
      <fill>
        <patternFill>
          <bgColor rgb="FFFF0000"/>
        </patternFill>
      </fill>
    </dxf>
  </dxfs>
  <tableStyles count="0" defaultTableStyle="TableStyleMedium2" defaultPivotStyle="PivotStyleLight16"/>
  <colors>
    <mruColors>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Radio" firstButton="1" fmlaLink="$F$3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fmlaLink="$F$35"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SAVE DATA'!$C$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firstButton="1" fmlaLink="$F$3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Radio" firstButton="1" fmlaLink="'MAIN - FRAMES'!$A$15"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fmlaLink="$F$37"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SAVE DATA'!$D$1"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2.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7.emf"/><Relationship Id="rId11" Type="http://schemas.openxmlformats.org/officeDocument/2006/relationships/image" Target="../media/image14.emf"/><Relationship Id="rId5" Type="http://schemas.openxmlformats.org/officeDocument/2006/relationships/image" Target="../media/image12.emf"/><Relationship Id="rId10" Type="http://schemas.openxmlformats.org/officeDocument/2006/relationships/image" Target="../media/image13.emf"/><Relationship Id="rId4" Type="http://schemas.openxmlformats.org/officeDocument/2006/relationships/image" Target="../media/image11.emf"/><Relationship Id="rId9" Type="http://schemas.openxmlformats.org/officeDocument/2006/relationships/image" Target="../media/image4.emf"/><Relationship Id="rId1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5" Type="http://schemas.openxmlformats.org/officeDocument/2006/relationships/image" Target="../media/image15.emf"/><Relationship Id="rId4"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20.emf"/><Relationship Id="rId7" Type="http://schemas.openxmlformats.org/officeDocument/2006/relationships/image" Target="../media/image22.emf"/><Relationship Id="rId2" Type="http://schemas.openxmlformats.org/officeDocument/2006/relationships/image" Target="../media/image26.emf"/><Relationship Id="rId1" Type="http://schemas.openxmlformats.org/officeDocument/2006/relationships/image" Target="../media/image8.emf"/><Relationship Id="rId6" Type="http://schemas.openxmlformats.org/officeDocument/2006/relationships/image" Target="../media/image23.emf"/><Relationship Id="rId5" Type="http://schemas.openxmlformats.org/officeDocument/2006/relationships/image" Target="../media/image24.emf"/><Relationship Id="rId10" Type="http://schemas.openxmlformats.org/officeDocument/2006/relationships/image" Target="../media/image27.emf"/><Relationship Id="rId4" Type="http://schemas.openxmlformats.org/officeDocument/2006/relationships/image" Target="../media/image25.emf"/><Relationship Id="rId9"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0.emf"/><Relationship Id="rId1"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3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13</xdr:row>
          <xdr:rowOff>19050</xdr:rowOff>
        </xdr:from>
        <xdr:to>
          <xdr:col>10</xdr:col>
          <xdr:colOff>600075</xdr:colOff>
          <xdr:row>13</xdr:row>
          <xdr:rowOff>171450</xdr:rowOff>
        </xdr:to>
        <xdr:sp macro="" textlink="">
          <xdr:nvSpPr>
            <xdr:cNvPr id="3150" name="Option Button 78" hidden="1">
              <a:extLst>
                <a:ext uri="{63B3BB69-23CF-44E3-9099-C40C66FF867C}">
                  <a14:compatExt spid="_x0000_s3150"/>
                </a:ext>
                <a:ext uri="{FF2B5EF4-FFF2-40B4-BE49-F238E27FC236}">
                  <a16:creationId xmlns:a16="http://schemas.microsoft.com/office/drawing/2014/main" id="{00000000-0008-0000-00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14</xdr:row>
          <xdr:rowOff>19050</xdr:rowOff>
        </xdr:from>
        <xdr:to>
          <xdr:col>10</xdr:col>
          <xdr:colOff>600075</xdr:colOff>
          <xdr:row>14</xdr:row>
          <xdr:rowOff>171450</xdr:rowOff>
        </xdr:to>
        <xdr:sp macro="" textlink="">
          <xdr:nvSpPr>
            <xdr:cNvPr id="3151" name="Option Button 79" hidden="1">
              <a:extLst>
                <a:ext uri="{63B3BB69-23CF-44E3-9099-C40C66FF867C}">
                  <a14:compatExt spid="_x0000_s3151"/>
                </a:ext>
                <a:ext uri="{FF2B5EF4-FFF2-40B4-BE49-F238E27FC236}">
                  <a16:creationId xmlns:a16="http://schemas.microsoft.com/office/drawing/2014/main" id="{00000000-0008-0000-00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15</xdr:row>
          <xdr:rowOff>19050</xdr:rowOff>
        </xdr:from>
        <xdr:to>
          <xdr:col>10</xdr:col>
          <xdr:colOff>600075</xdr:colOff>
          <xdr:row>15</xdr:row>
          <xdr:rowOff>171450</xdr:rowOff>
        </xdr:to>
        <xdr:sp macro="" textlink="">
          <xdr:nvSpPr>
            <xdr:cNvPr id="3152" name="Option Button 80" hidden="1">
              <a:extLst>
                <a:ext uri="{63B3BB69-23CF-44E3-9099-C40C66FF867C}">
                  <a14:compatExt spid="_x0000_s3152"/>
                </a:ext>
                <a:ext uri="{FF2B5EF4-FFF2-40B4-BE49-F238E27FC236}">
                  <a16:creationId xmlns:a16="http://schemas.microsoft.com/office/drawing/2014/main" id="{00000000-0008-0000-00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16</xdr:row>
          <xdr:rowOff>19050</xdr:rowOff>
        </xdr:from>
        <xdr:to>
          <xdr:col>10</xdr:col>
          <xdr:colOff>600075</xdr:colOff>
          <xdr:row>16</xdr:row>
          <xdr:rowOff>171450</xdr:rowOff>
        </xdr:to>
        <xdr:sp macro="" textlink="">
          <xdr:nvSpPr>
            <xdr:cNvPr id="3153" name="Option Button 81" hidden="1">
              <a:extLst>
                <a:ext uri="{63B3BB69-23CF-44E3-9099-C40C66FF867C}">
                  <a14:compatExt spid="_x0000_s3153"/>
                </a:ext>
                <a:ext uri="{FF2B5EF4-FFF2-40B4-BE49-F238E27FC236}">
                  <a16:creationId xmlns:a16="http://schemas.microsoft.com/office/drawing/2014/main" id="{00000000-0008-0000-00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17</xdr:row>
          <xdr:rowOff>19050</xdr:rowOff>
        </xdr:from>
        <xdr:to>
          <xdr:col>10</xdr:col>
          <xdr:colOff>600075</xdr:colOff>
          <xdr:row>17</xdr:row>
          <xdr:rowOff>171450</xdr:rowOff>
        </xdr:to>
        <xdr:sp macro="" textlink="">
          <xdr:nvSpPr>
            <xdr:cNvPr id="3154" name="Option Button 82" hidden="1">
              <a:extLst>
                <a:ext uri="{63B3BB69-23CF-44E3-9099-C40C66FF867C}">
                  <a14:compatExt spid="_x0000_s3154"/>
                </a:ext>
                <a:ext uri="{FF2B5EF4-FFF2-40B4-BE49-F238E27FC236}">
                  <a16:creationId xmlns:a16="http://schemas.microsoft.com/office/drawing/2014/main" id="{00000000-0008-0000-00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31</xdr:row>
          <xdr:rowOff>9525</xdr:rowOff>
        </xdr:from>
        <xdr:to>
          <xdr:col>8</xdr:col>
          <xdr:colOff>9525</xdr:colOff>
          <xdr:row>33</xdr:row>
          <xdr:rowOff>0</xdr:rowOff>
        </xdr:to>
        <xdr:sp macro="" textlink="">
          <xdr:nvSpPr>
            <xdr:cNvPr id="3129" name="Group Box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VB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37</xdr:row>
          <xdr:rowOff>9525</xdr:rowOff>
        </xdr:from>
        <xdr:to>
          <xdr:col>8</xdr:col>
          <xdr:colOff>9525</xdr:colOff>
          <xdr:row>39</xdr:row>
          <xdr:rowOff>0</xdr:rowOff>
        </xdr:to>
        <xdr:sp macro="" textlink="">
          <xdr:nvSpPr>
            <xdr:cNvPr id="3134" name="Group Box 62"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VB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47625</xdr:rowOff>
        </xdr:from>
        <xdr:to>
          <xdr:col>7</xdr:col>
          <xdr:colOff>590550</xdr:colOff>
          <xdr:row>3</xdr:row>
          <xdr:rowOff>152400</xdr:rowOff>
        </xdr:to>
        <xdr:sp macro="" textlink="">
          <xdr:nvSpPr>
            <xdr:cNvPr id="3073" name="TextBox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38100</xdr:rowOff>
        </xdr:from>
        <xdr:to>
          <xdr:col>7</xdr:col>
          <xdr:colOff>590550</xdr:colOff>
          <xdr:row>5</xdr:row>
          <xdr:rowOff>152400</xdr:rowOff>
        </xdr:to>
        <xdr:sp macro="" textlink="">
          <xdr:nvSpPr>
            <xdr:cNvPr id="3076" name="TextBox2"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xdr:row>
          <xdr:rowOff>47625</xdr:rowOff>
        </xdr:from>
        <xdr:to>
          <xdr:col>5</xdr:col>
          <xdr:colOff>200025</xdr:colOff>
          <xdr:row>7</xdr:row>
          <xdr:rowOff>152400</xdr:rowOff>
        </xdr:to>
        <xdr:sp macro="" textlink="">
          <xdr:nvSpPr>
            <xdr:cNvPr id="3077" name="TextBox3"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xdr:row>
          <xdr:rowOff>47625</xdr:rowOff>
        </xdr:from>
        <xdr:to>
          <xdr:col>5</xdr:col>
          <xdr:colOff>200025</xdr:colOff>
          <xdr:row>9</xdr:row>
          <xdr:rowOff>152400</xdr:rowOff>
        </xdr:to>
        <xdr:sp macro="" textlink="">
          <xdr:nvSpPr>
            <xdr:cNvPr id="3078" name="TextBox4"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31</xdr:row>
          <xdr:rowOff>38100</xdr:rowOff>
        </xdr:from>
        <xdr:to>
          <xdr:col>4</xdr:col>
          <xdr:colOff>571500</xdr:colOff>
          <xdr:row>32</xdr:row>
          <xdr:rowOff>152400</xdr:rowOff>
        </xdr:to>
        <xdr:sp macro="" textlink="">
          <xdr:nvSpPr>
            <xdr:cNvPr id="3091" name="Option 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38100</xdr:rowOff>
        </xdr:from>
        <xdr:to>
          <xdr:col>7</xdr:col>
          <xdr:colOff>571500</xdr:colOff>
          <xdr:row>32</xdr:row>
          <xdr:rowOff>152400</xdr:rowOff>
        </xdr:to>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6</xdr:row>
          <xdr:rowOff>47625</xdr:rowOff>
        </xdr:from>
        <xdr:to>
          <xdr:col>7</xdr:col>
          <xdr:colOff>581025</xdr:colOff>
          <xdr:row>7</xdr:row>
          <xdr:rowOff>152400</xdr:rowOff>
        </xdr:to>
        <xdr:sp macro="" textlink="">
          <xdr:nvSpPr>
            <xdr:cNvPr id="3095" name="TextBox10"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8</xdr:row>
          <xdr:rowOff>47625</xdr:rowOff>
        </xdr:from>
        <xdr:to>
          <xdr:col>7</xdr:col>
          <xdr:colOff>581025</xdr:colOff>
          <xdr:row>9</xdr:row>
          <xdr:rowOff>152400</xdr:rowOff>
        </xdr:to>
        <xdr:sp macro="" textlink="">
          <xdr:nvSpPr>
            <xdr:cNvPr id="3096" name="TextBox11"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47625</xdr:rowOff>
        </xdr:from>
        <xdr:to>
          <xdr:col>5</xdr:col>
          <xdr:colOff>200025</xdr:colOff>
          <xdr:row>14</xdr:row>
          <xdr:rowOff>152400</xdr:rowOff>
        </xdr:to>
        <xdr:sp macro="" textlink="">
          <xdr:nvSpPr>
            <xdr:cNvPr id="3099" name="TextBox7"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13</xdr:row>
          <xdr:rowOff>47625</xdr:rowOff>
        </xdr:from>
        <xdr:to>
          <xdr:col>7</xdr:col>
          <xdr:colOff>571500</xdr:colOff>
          <xdr:row>14</xdr:row>
          <xdr:rowOff>152400</xdr:rowOff>
        </xdr:to>
        <xdr:sp macro="" textlink="">
          <xdr:nvSpPr>
            <xdr:cNvPr id="3100" name="TextBox8"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47625</xdr:rowOff>
        </xdr:from>
        <xdr:to>
          <xdr:col>5</xdr:col>
          <xdr:colOff>200025</xdr:colOff>
          <xdr:row>16</xdr:row>
          <xdr:rowOff>152400</xdr:rowOff>
        </xdr:to>
        <xdr:sp macro="" textlink="">
          <xdr:nvSpPr>
            <xdr:cNvPr id="3101" name="TextBox12" hidden="1">
              <a:extLst>
                <a:ext uri="{63B3BB69-23CF-44E3-9099-C40C66FF867C}">
                  <a14:compatExt spid="_x0000_s3101"/>
                </a:ext>
                <a:ext uri="{FF2B5EF4-FFF2-40B4-BE49-F238E27FC236}">
                  <a16:creationId xmlns:a16="http://schemas.microsoft.com/office/drawing/2014/main" id="{00000000-0008-0000-00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15</xdr:row>
          <xdr:rowOff>47625</xdr:rowOff>
        </xdr:from>
        <xdr:to>
          <xdr:col>7</xdr:col>
          <xdr:colOff>571500</xdr:colOff>
          <xdr:row>16</xdr:row>
          <xdr:rowOff>152400</xdr:rowOff>
        </xdr:to>
        <xdr:sp macro="" textlink="">
          <xdr:nvSpPr>
            <xdr:cNvPr id="3102" name="TextBox13" hidden="1">
              <a:extLst>
                <a:ext uri="{63B3BB69-23CF-44E3-9099-C40C66FF867C}">
                  <a14:compatExt spid="_x0000_s3102"/>
                </a:ext>
                <a:ext uri="{FF2B5EF4-FFF2-40B4-BE49-F238E27FC236}">
                  <a16:creationId xmlns:a16="http://schemas.microsoft.com/office/drawing/2014/main" id="{00000000-0008-0000-00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47625</xdr:rowOff>
        </xdr:from>
        <xdr:to>
          <xdr:col>5</xdr:col>
          <xdr:colOff>200025</xdr:colOff>
          <xdr:row>18</xdr:row>
          <xdr:rowOff>152400</xdr:rowOff>
        </xdr:to>
        <xdr:sp macro="" textlink="">
          <xdr:nvSpPr>
            <xdr:cNvPr id="3103" name="TextBox14"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17</xdr:row>
          <xdr:rowOff>47625</xdr:rowOff>
        </xdr:from>
        <xdr:to>
          <xdr:col>7</xdr:col>
          <xdr:colOff>571500</xdr:colOff>
          <xdr:row>18</xdr:row>
          <xdr:rowOff>152400</xdr:rowOff>
        </xdr:to>
        <xdr:sp macro="" textlink="">
          <xdr:nvSpPr>
            <xdr:cNvPr id="3104" name="TextBox15"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47625</xdr:rowOff>
        </xdr:from>
        <xdr:to>
          <xdr:col>5</xdr:col>
          <xdr:colOff>200025</xdr:colOff>
          <xdr:row>23</xdr:row>
          <xdr:rowOff>152400</xdr:rowOff>
        </xdr:to>
        <xdr:sp macro="" textlink="">
          <xdr:nvSpPr>
            <xdr:cNvPr id="3105" name="TextBox9" hidden="1">
              <a:extLst>
                <a:ext uri="{63B3BB69-23CF-44E3-9099-C40C66FF867C}">
                  <a14:compatExt spid="_x0000_s3105"/>
                </a:ext>
                <a:ext uri="{FF2B5EF4-FFF2-40B4-BE49-F238E27FC236}">
                  <a16:creationId xmlns:a16="http://schemas.microsoft.com/office/drawing/2014/main" id="{00000000-0008-0000-0000-00002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47625</xdr:rowOff>
        </xdr:from>
        <xdr:to>
          <xdr:col>7</xdr:col>
          <xdr:colOff>571500</xdr:colOff>
          <xdr:row>23</xdr:row>
          <xdr:rowOff>152400</xdr:rowOff>
        </xdr:to>
        <xdr:sp macro="" textlink="">
          <xdr:nvSpPr>
            <xdr:cNvPr id="3106" name="TextBox16" hidden="1">
              <a:extLst>
                <a:ext uri="{63B3BB69-23CF-44E3-9099-C40C66FF867C}">
                  <a14:compatExt spid="_x0000_s3106"/>
                </a:ext>
                <a:ext uri="{FF2B5EF4-FFF2-40B4-BE49-F238E27FC236}">
                  <a16:creationId xmlns:a16="http://schemas.microsoft.com/office/drawing/2014/main" id="{00000000-0008-0000-00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38100</xdr:rowOff>
        </xdr:from>
        <xdr:to>
          <xdr:col>7</xdr:col>
          <xdr:colOff>590550</xdr:colOff>
          <xdr:row>46</xdr:row>
          <xdr:rowOff>142875</xdr:rowOff>
        </xdr:to>
        <xdr:sp macro="" textlink="">
          <xdr:nvSpPr>
            <xdr:cNvPr id="3109" name="TextBox17" hidden="1">
              <a:extLst>
                <a:ext uri="{63B3BB69-23CF-44E3-9099-C40C66FF867C}">
                  <a14:compatExt spid="_x0000_s3109"/>
                </a:ext>
                <a:ext uri="{FF2B5EF4-FFF2-40B4-BE49-F238E27FC236}">
                  <a16:creationId xmlns:a16="http://schemas.microsoft.com/office/drawing/2014/main" id="{00000000-0008-0000-0000-00002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50</xdr:row>
          <xdr:rowOff>38100</xdr:rowOff>
        </xdr:from>
        <xdr:to>
          <xdr:col>5</xdr:col>
          <xdr:colOff>342900</xdr:colOff>
          <xdr:row>51</xdr:row>
          <xdr:rowOff>152400</xdr:rowOff>
        </xdr:to>
        <xdr:sp macro="" textlink="">
          <xdr:nvSpPr>
            <xdr:cNvPr id="3123" name="ClearButton"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34</xdr:row>
          <xdr:rowOff>38874</xdr:rowOff>
        </xdr:from>
        <xdr:to>
          <xdr:col>7</xdr:col>
          <xdr:colOff>571500</xdr:colOff>
          <xdr:row>35</xdr:row>
          <xdr:rowOff>152268</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875064" y="6515874"/>
              <a:ext cx="2982686" cy="303894"/>
              <a:chOff x="1875064" y="6896874"/>
              <a:chExt cx="2982686" cy="303894"/>
            </a:xfrm>
          </xdr:grpSpPr>
          <xdr:sp macro="" textlink="">
            <xdr:nvSpPr>
              <xdr:cNvPr id="3132" name="Option Button 60" hidden="1">
                <a:extLst>
                  <a:ext uri="{63B3BB69-23CF-44E3-9099-C40C66FF867C}">
                    <a14:compatExt spid="_x0000_s3132"/>
                  </a:ext>
                  <a:ext uri="{FF2B5EF4-FFF2-40B4-BE49-F238E27FC236}">
                    <a16:creationId xmlns:a16="http://schemas.microsoft.com/office/drawing/2014/main" id="{00000000-0008-0000-0000-00003C0C0000}"/>
                  </a:ext>
                </a:extLst>
              </xdr:cNvPr>
              <xdr:cNvSpPr/>
            </xdr:nvSpPr>
            <xdr:spPr bwMode="auto">
              <a:xfrm>
                <a:off x="1875064" y="6896874"/>
                <a:ext cx="1149624" cy="30389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133" name="Option Button 61"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3708126" y="6896874"/>
                <a:ext cx="1149624" cy="30389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47</xdr:row>
          <xdr:rowOff>47625</xdr:rowOff>
        </xdr:from>
        <xdr:to>
          <xdr:col>7</xdr:col>
          <xdr:colOff>419100</xdr:colOff>
          <xdr:row>48</xdr:row>
          <xdr:rowOff>161925</xdr:rowOff>
        </xdr:to>
        <xdr:sp macro="" textlink="">
          <xdr:nvSpPr>
            <xdr:cNvPr id="3135" name="clGenEmail" hidden="1">
              <a:extLst>
                <a:ext uri="{63B3BB69-23CF-44E3-9099-C40C66FF867C}">
                  <a14:compatExt spid="_x0000_s3135"/>
                </a:ext>
                <a:ext uri="{FF2B5EF4-FFF2-40B4-BE49-F238E27FC236}">
                  <a16:creationId xmlns:a16="http://schemas.microsoft.com/office/drawing/2014/main" id="{00000000-0008-0000-0000-00003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38</xdr:row>
          <xdr:rowOff>57150</xdr:rowOff>
        </xdr:from>
        <xdr:to>
          <xdr:col>7</xdr:col>
          <xdr:colOff>419100</xdr:colOff>
          <xdr:row>39</xdr:row>
          <xdr:rowOff>171450</xdr:rowOff>
        </xdr:to>
        <xdr:sp macro="" textlink="">
          <xdr:nvSpPr>
            <xdr:cNvPr id="3136" name="clCasenotes"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24</xdr:row>
          <xdr:rowOff>28575</xdr:rowOff>
        </xdr:from>
        <xdr:to>
          <xdr:col>7</xdr:col>
          <xdr:colOff>552450</xdr:colOff>
          <xdr:row>25</xdr:row>
          <xdr:rowOff>171450</xdr:rowOff>
        </xdr:to>
        <xdr:sp macro="" textlink="">
          <xdr:nvSpPr>
            <xdr:cNvPr id="3137" name="CheckBox1"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xdr:row>
          <xdr:rowOff>38100</xdr:rowOff>
        </xdr:from>
        <xdr:to>
          <xdr:col>10</xdr:col>
          <xdr:colOff>571500</xdr:colOff>
          <xdr:row>3</xdr:row>
          <xdr:rowOff>152400</xdr:rowOff>
        </xdr:to>
        <xdr:sp macro="" textlink="">
          <xdr:nvSpPr>
            <xdr:cNvPr id="3138" name="clneedinfo"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18</xdr:row>
          <xdr:rowOff>28575</xdr:rowOff>
        </xdr:from>
        <xdr:to>
          <xdr:col>9</xdr:col>
          <xdr:colOff>600075</xdr:colOff>
          <xdr:row>19</xdr:row>
          <xdr:rowOff>171450</xdr:rowOff>
        </xdr:to>
        <xdr:sp macro="" textlink="">
          <xdr:nvSpPr>
            <xdr:cNvPr id="3155" name="clsave" descr="💾 SAVE" hidden="1">
              <a:extLst>
                <a:ext uri="{63B3BB69-23CF-44E3-9099-C40C66FF867C}">
                  <a14:compatExt spid="_x0000_s3155"/>
                </a:ext>
                <a:ext uri="{FF2B5EF4-FFF2-40B4-BE49-F238E27FC236}">
                  <a16:creationId xmlns:a16="http://schemas.microsoft.com/office/drawing/2014/main" id="{00000000-0008-0000-0000-00005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18</xdr:row>
          <xdr:rowOff>28575</xdr:rowOff>
        </xdr:from>
        <xdr:to>
          <xdr:col>10</xdr:col>
          <xdr:colOff>600075</xdr:colOff>
          <xdr:row>19</xdr:row>
          <xdr:rowOff>180975</xdr:rowOff>
        </xdr:to>
        <xdr:sp macro="" textlink="">
          <xdr:nvSpPr>
            <xdr:cNvPr id="3156" name="clload" hidden="1">
              <a:extLst>
                <a:ext uri="{63B3BB69-23CF-44E3-9099-C40C66FF867C}">
                  <a14:compatExt spid="_x0000_s3156"/>
                </a:ext>
                <a:ext uri="{FF2B5EF4-FFF2-40B4-BE49-F238E27FC236}">
                  <a16:creationId xmlns:a16="http://schemas.microsoft.com/office/drawing/2014/main" id="{00000000-0008-0000-0000-00005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11</xdr:row>
          <xdr:rowOff>47625</xdr:rowOff>
        </xdr:from>
        <xdr:to>
          <xdr:col>7</xdr:col>
          <xdr:colOff>581025</xdr:colOff>
          <xdr:row>12</xdr:row>
          <xdr:rowOff>152400</xdr:rowOff>
        </xdr:to>
        <xdr:sp macro="" textlink="">
          <xdr:nvSpPr>
            <xdr:cNvPr id="3158" name="ComboBox2" hidden="1">
              <a:extLst>
                <a:ext uri="{63B3BB69-23CF-44E3-9099-C40C66FF867C}">
                  <a14:compatExt spid="_x0000_s3158"/>
                </a:ext>
                <a:ext uri="{FF2B5EF4-FFF2-40B4-BE49-F238E27FC236}">
                  <a16:creationId xmlns:a16="http://schemas.microsoft.com/office/drawing/2014/main" id="{00000000-0008-0000-0000-00005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47625</xdr:rowOff>
        </xdr:from>
        <xdr:to>
          <xdr:col>5</xdr:col>
          <xdr:colOff>200025</xdr:colOff>
          <xdr:row>12</xdr:row>
          <xdr:rowOff>152400</xdr:rowOff>
        </xdr:to>
        <xdr:sp macro="" textlink="">
          <xdr:nvSpPr>
            <xdr:cNvPr id="3159" name="ComboBox1" hidden="1">
              <a:extLst>
                <a:ext uri="{63B3BB69-23CF-44E3-9099-C40C66FF867C}">
                  <a14:compatExt spid="_x0000_s3159"/>
                </a:ext>
                <a:ext uri="{FF2B5EF4-FFF2-40B4-BE49-F238E27FC236}">
                  <a16:creationId xmlns:a16="http://schemas.microsoft.com/office/drawing/2014/main" id="{00000000-0008-0000-0000-00005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xdr:row>
          <xdr:rowOff>57150</xdr:rowOff>
        </xdr:from>
        <xdr:to>
          <xdr:col>10</xdr:col>
          <xdr:colOff>571500</xdr:colOff>
          <xdr:row>5</xdr:row>
          <xdr:rowOff>171450</xdr:rowOff>
        </xdr:to>
        <xdr:sp macro="" textlink="">
          <xdr:nvSpPr>
            <xdr:cNvPr id="3163" name="cldenial" hidden="1">
              <a:extLst>
                <a:ext uri="{63B3BB69-23CF-44E3-9099-C40C66FF867C}">
                  <a14:compatExt spid="_x0000_s3163"/>
                </a:ext>
                <a:ext uri="{FF2B5EF4-FFF2-40B4-BE49-F238E27FC236}">
                  <a16:creationId xmlns:a16="http://schemas.microsoft.com/office/drawing/2014/main" id="{00000000-0008-0000-0000-00005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9525</xdr:rowOff>
        </xdr:from>
        <xdr:to>
          <xdr:col>10</xdr:col>
          <xdr:colOff>600075</xdr:colOff>
          <xdr:row>17</xdr:row>
          <xdr:rowOff>180975</xdr:rowOff>
        </xdr:to>
        <xdr:sp macro="" textlink="">
          <xdr:nvSpPr>
            <xdr:cNvPr id="3164" name="Group Box 92" hidden="1">
              <a:extLst>
                <a:ext uri="{63B3BB69-23CF-44E3-9099-C40C66FF867C}">
                  <a14:compatExt spid="_x0000_s3164"/>
                </a:ext>
                <a:ext uri="{FF2B5EF4-FFF2-40B4-BE49-F238E27FC236}">
                  <a16:creationId xmlns:a16="http://schemas.microsoft.com/office/drawing/2014/main" id="{00000000-0008-0000-0000-00005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43</xdr:row>
          <xdr:rowOff>47625</xdr:rowOff>
        </xdr:from>
        <xdr:to>
          <xdr:col>7</xdr:col>
          <xdr:colOff>419100</xdr:colOff>
          <xdr:row>44</xdr:row>
          <xdr:rowOff>161925</xdr:rowOff>
        </xdr:to>
        <xdr:sp macro="" textlink="">
          <xdr:nvSpPr>
            <xdr:cNvPr id="3165" name="Promonotes" hidden="1">
              <a:extLst>
                <a:ext uri="{63B3BB69-23CF-44E3-9099-C40C66FF867C}">
                  <a14:compatExt spid="_x0000_s3165"/>
                </a:ext>
                <a:ext uri="{FF2B5EF4-FFF2-40B4-BE49-F238E27FC236}">
                  <a16:creationId xmlns:a16="http://schemas.microsoft.com/office/drawing/2014/main" id="{00000000-0008-0000-0000-00005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23</xdr:row>
          <xdr:rowOff>171450</xdr:rowOff>
        </xdr:from>
        <xdr:to>
          <xdr:col>2</xdr:col>
          <xdr:colOff>0</xdr:colOff>
          <xdr:row>25</xdr:row>
          <xdr:rowOff>9525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20</xdr:row>
          <xdr:rowOff>133350</xdr:rowOff>
        </xdr:from>
        <xdr:to>
          <xdr:col>4</xdr:col>
          <xdr:colOff>95250</xdr:colOff>
          <xdr:row>22</xdr:row>
          <xdr:rowOff>76200</xdr:rowOff>
        </xdr:to>
        <xdr:sp macro="" textlink="">
          <xdr:nvSpPr>
            <xdr:cNvPr id="1030" name="TextBox21"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18</xdr:row>
          <xdr:rowOff>0</xdr:rowOff>
        </xdr:from>
        <xdr:to>
          <xdr:col>4</xdr:col>
          <xdr:colOff>66675</xdr:colOff>
          <xdr:row>19</xdr:row>
          <xdr:rowOff>28575</xdr:rowOff>
        </xdr:to>
        <xdr:sp macro="" textlink="">
          <xdr:nvSpPr>
            <xdr:cNvPr id="1031" name="TextBox20"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26</xdr:row>
          <xdr:rowOff>0</xdr:rowOff>
        </xdr:from>
        <xdr:to>
          <xdr:col>6</xdr:col>
          <xdr:colOff>323850</xdr:colOff>
          <xdr:row>27</xdr:row>
          <xdr:rowOff>28575</xdr:rowOff>
        </xdr:to>
        <xdr:sp macro="" textlink="">
          <xdr:nvSpPr>
            <xdr:cNvPr id="1032" name="TextBox23"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27</xdr:row>
          <xdr:rowOff>66675</xdr:rowOff>
        </xdr:from>
        <xdr:to>
          <xdr:col>6</xdr:col>
          <xdr:colOff>323850</xdr:colOff>
          <xdr:row>28</xdr:row>
          <xdr:rowOff>95250</xdr:rowOff>
        </xdr:to>
        <xdr:sp macro="" textlink="">
          <xdr:nvSpPr>
            <xdr:cNvPr id="1033" name="TextBox25"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55</xdr:row>
          <xdr:rowOff>66675</xdr:rowOff>
        </xdr:from>
        <xdr:to>
          <xdr:col>8</xdr:col>
          <xdr:colOff>914400</xdr:colOff>
          <xdr:row>56</xdr:row>
          <xdr:rowOff>95250</xdr:rowOff>
        </xdr:to>
        <xdr:sp macro="" textlink="">
          <xdr:nvSpPr>
            <xdr:cNvPr id="1034" name="TestBox1"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52</xdr:row>
          <xdr:rowOff>9525</xdr:rowOff>
        </xdr:from>
        <xdr:to>
          <xdr:col>1</xdr:col>
          <xdr:colOff>1057275</xdr:colOff>
          <xdr:row>53</xdr:row>
          <xdr:rowOff>142875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31</xdr:row>
          <xdr:rowOff>9525</xdr:rowOff>
        </xdr:from>
        <xdr:to>
          <xdr:col>8</xdr:col>
          <xdr:colOff>9525</xdr:colOff>
          <xdr:row>33</xdr:row>
          <xdr:rowOff>0</xdr:rowOff>
        </xdr:to>
        <xdr:sp macro="" textlink="">
          <xdr:nvSpPr>
            <xdr:cNvPr id="9222" name="Group Box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VB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9525</xdr:rowOff>
        </xdr:from>
        <xdr:to>
          <xdr:col>8</xdr:col>
          <xdr:colOff>9525</xdr:colOff>
          <xdr:row>41</xdr:row>
          <xdr:rowOff>0</xdr:rowOff>
        </xdr:to>
        <xdr:sp macro="" textlink="">
          <xdr:nvSpPr>
            <xdr:cNvPr id="9258" name="Group Box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VB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38087</xdr:colOff>
          <xdr:row>31</xdr:row>
          <xdr:rowOff>43734</xdr:rowOff>
        </xdr:from>
        <xdr:to>
          <xdr:col>7</xdr:col>
          <xdr:colOff>571498</xdr:colOff>
          <xdr:row>32</xdr:row>
          <xdr:rowOff>149490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1875051" y="5949234"/>
              <a:ext cx="2982697" cy="296256"/>
              <a:chOff x="1853441" y="6315075"/>
              <a:chExt cx="2953883" cy="314325"/>
            </a:xfrm>
          </xdr:grpSpPr>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1853441" y="6315075"/>
                <a:ext cx="1138518" cy="3143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18" name="Option 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3668806" y="6315075"/>
                <a:ext cx="1138518" cy="3143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47</xdr:row>
          <xdr:rowOff>47625</xdr:rowOff>
        </xdr:from>
        <xdr:to>
          <xdr:col>7</xdr:col>
          <xdr:colOff>590550</xdr:colOff>
          <xdr:row>48</xdr:row>
          <xdr:rowOff>152400</xdr:rowOff>
        </xdr:to>
        <xdr:sp macro="" textlink="">
          <xdr:nvSpPr>
            <xdr:cNvPr id="9219" name="TextBox17"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52</xdr:row>
          <xdr:rowOff>57150</xdr:rowOff>
        </xdr:from>
        <xdr:to>
          <xdr:col>5</xdr:col>
          <xdr:colOff>342900</xdr:colOff>
          <xdr:row>53</xdr:row>
          <xdr:rowOff>180975</xdr:rowOff>
        </xdr:to>
        <xdr:sp macro="" textlink="">
          <xdr:nvSpPr>
            <xdr:cNvPr id="9220" name="ClearButton"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47625</xdr:rowOff>
        </xdr:from>
        <xdr:to>
          <xdr:col>7</xdr:col>
          <xdr:colOff>590550</xdr:colOff>
          <xdr:row>3</xdr:row>
          <xdr:rowOff>142875</xdr:rowOff>
        </xdr:to>
        <xdr:sp macro="" textlink="">
          <xdr:nvSpPr>
            <xdr:cNvPr id="9226" name="TextBox1"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xdr:row>
          <xdr:rowOff>47625</xdr:rowOff>
        </xdr:from>
        <xdr:to>
          <xdr:col>7</xdr:col>
          <xdr:colOff>590550</xdr:colOff>
          <xdr:row>7</xdr:row>
          <xdr:rowOff>142875</xdr:rowOff>
        </xdr:to>
        <xdr:sp macro="" textlink="">
          <xdr:nvSpPr>
            <xdr:cNvPr id="9227" name="TextBox3"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xdr:row>
          <xdr:rowOff>47625</xdr:rowOff>
        </xdr:from>
        <xdr:to>
          <xdr:col>7</xdr:col>
          <xdr:colOff>590550</xdr:colOff>
          <xdr:row>9</xdr:row>
          <xdr:rowOff>142875</xdr:rowOff>
        </xdr:to>
        <xdr:sp macro="" textlink="">
          <xdr:nvSpPr>
            <xdr:cNvPr id="9228" name="TextBox4"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47625</xdr:rowOff>
        </xdr:from>
        <xdr:to>
          <xdr:col>7</xdr:col>
          <xdr:colOff>590550</xdr:colOff>
          <xdr:row>11</xdr:row>
          <xdr:rowOff>142875</xdr:rowOff>
        </xdr:to>
        <xdr:sp macro="" textlink="">
          <xdr:nvSpPr>
            <xdr:cNvPr id="9229" name="TextBox5"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47625</xdr:rowOff>
        </xdr:from>
        <xdr:to>
          <xdr:col>7</xdr:col>
          <xdr:colOff>590550</xdr:colOff>
          <xdr:row>16</xdr:row>
          <xdr:rowOff>142875</xdr:rowOff>
        </xdr:to>
        <xdr:sp macro="" textlink="">
          <xdr:nvSpPr>
            <xdr:cNvPr id="9231" name="TextBox7"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47625</xdr:rowOff>
        </xdr:from>
        <xdr:to>
          <xdr:col>7</xdr:col>
          <xdr:colOff>590550</xdr:colOff>
          <xdr:row>18</xdr:row>
          <xdr:rowOff>142875</xdr:rowOff>
        </xdr:to>
        <xdr:sp macro="" textlink="">
          <xdr:nvSpPr>
            <xdr:cNvPr id="9233" name="TextBox8"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38100</xdr:rowOff>
        </xdr:from>
        <xdr:to>
          <xdr:col>7</xdr:col>
          <xdr:colOff>590550</xdr:colOff>
          <xdr:row>20</xdr:row>
          <xdr:rowOff>133350</xdr:rowOff>
        </xdr:to>
        <xdr:sp macro="" textlink="">
          <xdr:nvSpPr>
            <xdr:cNvPr id="9236" name="TextBox9" hidden="1">
              <a:extLst>
                <a:ext uri="{63B3BB69-23CF-44E3-9099-C40C66FF867C}">
                  <a14:compatExt spid="_x0000_s9236"/>
                </a:ext>
                <a:ext uri="{FF2B5EF4-FFF2-40B4-BE49-F238E27FC236}">
                  <a16:creationId xmlns:a16="http://schemas.microsoft.com/office/drawing/2014/main" id="{00000000-0008-0000-02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xdr:row>
          <xdr:rowOff>38100</xdr:rowOff>
        </xdr:from>
        <xdr:to>
          <xdr:col>7</xdr:col>
          <xdr:colOff>590550</xdr:colOff>
          <xdr:row>25</xdr:row>
          <xdr:rowOff>133350</xdr:rowOff>
        </xdr:to>
        <xdr:sp macro="" textlink="">
          <xdr:nvSpPr>
            <xdr:cNvPr id="9238" name="TextBox10"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47625</xdr:rowOff>
        </xdr:from>
        <xdr:to>
          <xdr:col>7</xdr:col>
          <xdr:colOff>590550</xdr:colOff>
          <xdr:row>34</xdr:row>
          <xdr:rowOff>142875</xdr:rowOff>
        </xdr:to>
        <xdr:sp macro="" textlink="">
          <xdr:nvSpPr>
            <xdr:cNvPr id="9239" name="TextBox11"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49</xdr:row>
          <xdr:rowOff>66675</xdr:rowOff>
        </xdr:from>
        <xdr:to>
          <xdr:col>7</xdr:col>
          <xdr:colOff>419100</xdr:colOff>
          <xdr:row>50</xdr:row>
          <xdr:rowOff>180975</xdr:rowOff>
        </xdr:to>
        <xdr:sp macro="" textlink="">
          <xdr:nvSpPr>
            <xdr:cNvPr id="9240" name="copyemail"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47625</xdr:rowOff>
        </xdr:from>
        <xdr:to>
          <xdr:col>7</xdr:col>
          <xdr:colOff>590550</xdr:colOff>
          <xdr:row>14</xdr:row>
          <xdr:rowOff>142875</xdr:rowOff>
        </xdr:to>
        <xdr:sp macro="" textlink="">
          <xdr:nvSpPr>
            <xdr:cNvPr id="9241" name="ComboBox1"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40</xdr:row>
          <xdr:rowOff>47625</xdr:rowOff>
        </xdr:from>
        <xdr:to>
          <xdr:col>7</xdr:col>
          <xdr:colOff>419100</xdr:colOff>
          <xdr:row>41</xdr:row>
          <xdr:rowOff>161925</xdr:rowOff>
        </xdr:to>
        <xdr:sp macro="" textlink="">
          <xdr:nvSpPr>
            <xdr:cNvPr id="9255" name="CommandButton1"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36</xdr:row>
          <xdr:rowOff>47625</xdr:rowOff>
        </xdr:from>
        <xdr:to>
          <xdr:col>4</xdr:col>
          <xdr:colOff>571500</xdr:colOff>
          <xdr:row>37</xdr:row>
          <xdr:rowOff>152400</xdr:rowOff>
        </xdr:to>
        <xdr:sp macro="" textlink="">
          <xdr:nvSpPr>
            <xdr:cNvPr id="9256" name="Option Button 40"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36</xdr:row>
          <xdr:rowOff>47625</xdr:rowOff>
        </xdr:from>
        <xdr:to>
          <xdr:col>7</xdr:col>
          <xdr:colOff>571500</xdr:colOff>
          <xdr:row>37</xdr:row>
          <xdr:rowOff>152400</xdr:rowOff>
        </xdr:to>
        <xdr:sp macro="" textlink="">
          <xdr:nvSpPr>
            <xdr:cNvPr id="9257" name="Option Button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xdr:row>
          <xdr:rowOff>38100</xdr:rowOff>
        </xdr:from>
        <xdr:to>
          <xdr:col>10</xdr:col>
          <xdr:colOff>571500</xdr:colOff>
          <xdr:row>3</xdr:row>
          <xdr:rowOff>152400</xdr:rowOff>
        </xdr:to>
        <xdr:sp macro="" textlink="">
          <xdr:nvSpPr>
            <xdr:cNvPr id="9259" name="CommandButton2"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20</xdr:row>
          <xdr:rowOff>28575</xdr:rowOff>
        </xdr:from>
        <xdr:to>
          <xdr:col>9</xdr:col>
          <xdr:colOff>600075</xdr:colOff>
          <xdr:row>21</xdr:row>
          <xdr:rowOff>171450</xdr:rowOff>
        </xdr:to>
        <xdr:sp macro="" textlink="">
          <xdr:nvSpPr>
            <xdr:cNvPr id="9265" name="framesave" descr="💾 SAVE" hidden="1">
              <a:extLst>
                <a:ext uri="{63B3BB69-23CF-44E3-9099-C40C66FF867C}">
                  <a14:compatExt spid="_x0000_s9265"/>
                </a:ext>
                <a:ext uri="{FF2B5EF4-FFF2-40B4-BE49-F238E27FC236}">
                  <a16:creationId xmlns:a16="http://schemas.microsoft.com/office/drawing/2014/main" id="{00000000-0008-0000-02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20</xdr:row>
          <xdr:rowOff>28575</xdr:rowOff>
        </xdr:from>
        <xdr:to>
          <xdr:col>10</xdr:col>
          <xdr:colOff>600075</xdr:colOff>
          <xdr:row>21</xdr:row>
          <xdr:rowOff>171450</xdr:rowOff>
        </xdr:to>
        <xdr:sp macro="" textlink="">
          <xdr:nvSpPr>
            <xdr:cNvPr id="9266" name="frameload" hidden="1">
              <a:extLst>
                <a:ext uri="{63B3BB69-23CF-44E3-9099-C40C66FF867C}">
                  <a14:compatExt spid="_x0000_s9266"/>
                </a:ext>
                <a:ext uri="{FF2B5EF4-FFF2-40B4-BE49-F238E27FC236}">
                  <a16:creationId xmlns:a16="http://schemas.microsoft.com/office/drawing/2014/main" id="{00000000-0008-0000-0200-00003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xdr:row>
          <xdr:rowOff>57150</xdr:rowOff>
        </xdr:from>
        <xdr:to>
          <xdr:col>10</xdr:col>
          <xdr:colOff>571500</xdr:colOff>
          <xdr:row>5</xdr:row>
          <xdr:rowOff>171450</xdr:rowOff>
        </xdr:to>
        <xdr:sp macro="" textlink="">
          <xdr:nvSpPr>
            <xdr:cNvPr id="9267" name="CommandButton5" hidden="1">
              <a:extLst>
                <a:ext uri="{63B3BB69-23CF-44E3-9099-C40C66FF867C}">
                  <a14:compatExt spid="_x0000_s9267"/>
                </a:ext>
                <a:ext uri="{FF2B5EF4-FFF2-40B4-BE49-F238E27FC236}">
                  <a16:creationId xmlns:a16="http://schemas.microsoft.com/office/drawing/2014/main" id="{00000000-0008-0000-0200-00003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47625</xdr:rowOff>
        </xdr:from>
        <xdr:to>
          <xdr:col>7</xdr:col>
          <xdr:colOff>590550</xdr:colOff>
          <xdr:row>5</xdr:row>
          <xdr:rowOff>142875</xdr:rowOff>
        </xdr:to>
        <xdr:sp macro="" textlink="">
          <xdr:nvSpPr>
            <xdr:cNvPr id="9268" name="TextBox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15</xdr:row>
          <xdr:rowOff>0</xdr:rowOff>
        </xdr:from>
        <xdr:to>
          <xdr:col>11</xdr:col>
          <xdr:colOff>0</xdr:colOff>
          <xdr:row>20</xdr:row>
          <xdr:rowOff>9525</xdr:rowOff>
        </xdr:to>
        <xdr:sp macro="" textlink="">
          <xdr:nvSpPr>
            <xdr:cNvPr id="9269" name="Group Box 53" hidden="1">
              <a:extLst>
                <a:ext uri="{63B3BB69-23CF-44E3-9099-C40C66FF867C}">
                  <a14:compatExt spid="_x0000_s9269"/>
                </a:ext>
                <a:ext uri="{FF2B5EF4-FFF2-40B4-BE49-F238E27FC236}">
                  <a16:creationId xmlns:a16="http://schemas.microsoft.com/office/drawing/2014/main" id="{00000000-0008-0000-0200-000035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xdr:colOff>
          <xdr:row>15</xdr:row>
          <xdr:rowOff>19050</xdr:rowOff>
        </xdr:from>
        <xdr:to>
          <xdr:col>10</xdr:col>
          <xdr:colOff>600075</xdr:colOff>
          <xdr:row>19</xdr:row>
          <xdr:rowOff>171450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5539468" y="2876550"/>
              <a:ext cx="1183821" cy="914400"/>
              <a:chOff x="5539468" y="3121479"/>
              <a:chExt cx="1183821" cy="914400"/>
            </a:xfrm>
          </xdr:grpSpPr>
          <xdr:sp macro="" textlink="">
            <xdr:nvSpPr>
              <xdr:cNvPr id="9270" name="Option Button 54" hidden="1">
                <a:extLst>
                  <a:ext uri="{63B3BB69-23CF-44E3-9099-C40C66FF867C}">
                    <a14:compatExt spid="_x0000_s9270"/>
                  </a:ext>
                  <a:ext uri="{FF2B5EF4-FFF2-40B4-BE49-F238E27FC236}">
                    <a16:creationId xmlns:a16="http://schemas.microsoft.com/office/drawing/2014/main" id="{00000000-0008-0000-0200-000036240000}"/>
                  </a:ext>
                </a:extLst>
              </xdr:cNvPr>
              <xdr:cNvSpPr/>
            </xdr:nvSpPr>
            <xdr:spPr bwMode="auto">
              <a:xfrm>
                <a:off x="5539468" y="3121479"/>
                <a:ext cx="1183821"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71" name="Option Button 55" hidden="1">
                <a:extLst>
                  <a:ext uri="{63B3BB69-23CF-44E3-9099-C40C66FF867C}">
                    <a14:compatExt spid="_x0000_s9271"/>
                  </a:ext>
                  <a:ext uri="{FF2B5EF4-FFF2-40B4-BE49-F238E27FC236}">
                    <a16:creationId xmlns:a16="http://schemas.microsoft.com/office/drawing/2014/main" id="{00000000-0008-0000-0200-000037240000}"/>
                  </a:ext>
                </a:extLst>
              </xdr:cNvPr>
              <xdr:cNvSpPr/>
            </xdr:nvSpPr>
            <xdr:spPr bwMode="auto">
              <a:xfrm>
                <a:off x="5539468" y="3302454"/>
                <a:ext cx="1183821"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72" name="Option Button 56" hidden="1">
                <a:extLst>
                  <a:ext uri="{63B3BB69-23CF-44E3-9099-C40C66FF867C}">
                    <a14:compatExt spid="_x0000_s9272"/>
                  </a:ext>
                  <a:ext uri="{FF2B5EF4-FFF2-40B4-BE49-F238E27FC236}">
                    <a16:creationId xmlns:a16="http://schemas.microsoft.com/office/drawing/2014/main" id="{00000000-0008-0000-0200-000038240000}"/>
                  </a:ext>
                </a:extLst>
              </xdr:cNvPr>
              <xdr:cNvSpPr/>
            </xdr:nvSpPr>
            <xdr:spPr bwMode="auto">
              <a:xfrm>
                <a:off x="5539468" y="3502479"/>
                <a:ext cx="1183821"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73" name="Option 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5539468" y="3692979"/>
                <a:ext cx="1183821"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74" name="Option Button 58"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5539468" y="3883479"/>
                <a:ext cx="1183821"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44</xdr:row>
          <xdr:rowOff>9525</xdr:rowOff>
        </xdr:from>
        <xdr:to>
          <xdr:col>8</xdr:col>
          <xdr:colOff>9525</xdr:colOff>
          <xdr:row>46</xdr:row>
          <xdr:rowOff>0</xdr:rowOff>
        </xdr:to>
        <xdr:sp macro="" textlink="">
          <xdr:nvSpPr>
            <xdr:cNvPr id="9275" name="Group Box 59" hidden="1">
              <a:extLst>
                <a:ext uri="{63B3BB69-23CF-44E3-9099-C40C66FF867C}">
                  <a14:compatExt spid="_x0000_s9275"/>
                </a:ext>
                <a:ext uri="{FF2B5EF4-FFF2-40B4-BE49-F238E27FC236}">
                  <a16:creationId xmlns:a16="http://schemas.microsoft.com/office/drawing/2014/main" id="{00000000-0008-0000-0200-00003B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VB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45</xdr:row>
          <xdr:rowOff>47625</xdr:rowOff>
        </xdr:from>
        <xdr:to>
          <xdr:col>7</xdr:col>
          <xdr:colOff>419100</xdr:colOff>
          <xdr:row>46</xdr:row>
          <xdr:rowOff>161925</xdr:rowOff>
        </xdr:to>
        <xdr:sp macro="" textlink="">
          <xdr:nvSpPr>
            <xdr:cNvPr id="9276" name="promocodesheet" hidden="1">
              <a:extLst>
                <a:ext uri="{63B3BB69-23CF-44E3-9099-C40C66FF867C}">
                  <a14:compatExt spid="_x0000_s9276"/>
                </a:ext>
                <a:ext uri="{FF2B5EF4-FFF2-40B4-BE49-F238E27FC236}">
                  <a16:creationId xmlns:a16="http://schemas.microsoft.com/office/drawing/2014/main" id="{00000000-0008-0000-0200-00003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8</xdr:col>
          <xdr:colOff>219075</xdr:colOff>
          <xdr:row>28</xdr:row>
          <xdr:rowOff>9525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1224643" y="4953000"/>
              <a:ext cx="3893003" cy="390525"/>
              <a:chOff x="1225826" y="4953000"/>
              <a:chExt cx="3896553" cy="390525"/>
            </a:xfrm>
          </xdr:grpSpPr>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1244876" y="4962525"/>
                <a:ext cx="1184413"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2470702" y="4962525"/>
                <a:ext cx="1193938"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3696528" y="4962525"/>
                <a:ext cx="1206776"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279" name="Group Box 63" hidden="1">
                <a:extLst>
                  <a:ext uri="{63B3BB69-23CF-44E3-9099-C40C66FF867C}">
                    <a14:compatExt spid="_x0000_s9279"/>
                  </a:ext>
                  <a:ext uri="{FF2B5EF4-FFF2-40B4-BE49-F238E27FC236}">
                    <a16:creationId xmlns:a16="http://schemas.microsoft.com/office/drawing/2014/main" id="{00000000-0008-0000-0200-00003F240000}"/>
                  </a:ext>
                </a:extLst>
              </xdr:cNvPr>
              <xdr:cNvSpPr/>
            </xdr:nvSpPr>
            <xdr:spPr bwMode="auto">
              <a:xfrm>
                <a:off x="1225826" y="4953000"/>
                <a:ext cx="3896553" cy="3905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63</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24</xdr:row>
          <xdr:rowOff>28575</xdr:rowOff>
        </xdr:from>
        <xdr:to>
          <xdr:col>3</xdr:col>
          <xdr:colOff>542925</xdr:colOff>
          <xdr:row>25</xdr:row>
          <xdr:rowOff>114300</xdr:rowOff>
        </xdr:to>
        <xdr:sp macro="" textlink="">
          <xdr:nvSpPr>
            <xdr:cNvPr id="10241" name="EMAIL"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43</xdr:row>
          <xdr:rowOff>47625</xdr:rowOff>
        </xdr:from>
        <xdr:to>
          <xdr:col>6</xdr:col>
          <xdr:colOff>590550</xdr:colOff>
          <xdr:row>44</xdr:row>
          <xdr:rowOff>85725</xdr:rowOff>
        </xdr:to>
        <xdr:sp macro="" textlink="">
          <xdr:nvSpPr>
            <xdr:cNvPr id="10242" name="TextBox1"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41</xdr:row>
          <xdr:rowOff>161925</xdr:rowOff>
        </xdr:from>
        <xdr:to>
          <xdr:col>6</xdr:col>
          <xdr:colOff>590550</xdr:colOff>
          <xdr:row>43</xdr:row>
          <xdr:rowOff>9525</xdr:rowOff>
        </xdr:to>
        <xdr:sp macro="" textlink="">
          <xdr:nvSpPr>
            <xdr:cNvPr id="10243" name="TextBox2"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22</xdr:row>
          <xdr:rowOff>66675</xdr:rowOff>
        </xdr:from>
        <xdr:to>
          <xdr:col>3</xdr:col>
          <xdr:colOff>542925</xdr:colOff>
          <xdr:row>23</xdr:row>
          <xdr:rowOff>152400</xdr:rowOff>
        </xdr:to>
        <xdr:sp macro="" textlink="">
          <xdr:nvSpPr>
            <xdr:cNvPr id="10245" name="TextBox3"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55</xdr:row>
          <xdr:rowOff>19050</xdr:rowOff>
        </xdr:from>
        <xdr:to>
          <xdr:col>3</xdr:col>
          <xdr:colOff>342900</xdr:colOff>
          <xdr:row>56</xdr:row>
          <xdr:rowOff>57150</xdr:rowOff>
        </xdr:to>
        <xdr:sp macro="" textlink="">
          <xdr:nvSpPr>
            <xdr:cNvPr id="10246" name="Testbox1"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1428750</xdr:colOff>
          <xdr:row>54</xdr:row>
          <xdr:rowOff>180975</xdr:rowOff>
        </xdr:from>
        <xdr:to>
          <xdr:col>1</xdr:col>
          <xdr:colOff>1276350</xdr:colOff>
          <xdr:row>56</xdr:row>
          <xdr:rowOff>57150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BUTTON for updates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40</xdr:row>
          <xdr:rowOff>47625</xdr:rowOff>
        </xdr:from>
        <xdr:to>
          <xdr:col>1</xdr:col>
          <xdr:colOff>552450</xdr:colOff>
          <xdr:row>42</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UNLOCK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40</xdr:row>
          <xdr:rowOff>47625</xdr:rowOff>
        </xdr:from>
        <xdr:to>
          <xdr:col>3</xdr:col>
          <xdr:colOff>523875</xdr:colOff>
          <xdr:row>42</xdr:row>
          <xdr:rowOff>142875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LOCK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7.emf"/><Relationship Id="rId26" Type="http://schemas.openxmlformats.org/officeDocument/2006/relationships/control" Target="../activeX/activeX13.xml"/><Relationship Id="rId39" Type="http://schemas.openxmlformats.org/officeDocument/2006/relationships/image" Target="../media/image12.emf"/><Relationship Id="rId21" Type="http://schemas.openxmlformats.org/officeDocument/2006/relationships/control" Target="../activeX/activeX10.xml"/><Relationship Id="rId34" Type="http://schemas.openxmlformats.org/officeDocument/2006/relationships/control" Target="../activeX/activeX20.xml"/><Relationship Id="rId42" Type="http://schemas.openxmlformats.org/officeDocument/2006/relationships/control" Target="../activeX/activeX26.xml"/><Relationship Id="rId47" Type="http://schemas.openxmlformats.org/officeDocument/2006/relationships/ctrlProp" Target="../ctrlProps/ctrlProp4.xml"/><Relationship Id="rId50" Type="http://schemas.openxmlformats.org/officeDocument/2006/relationships/ctrlProp" Target="../ctrlProps/ctrlProp7.xml"/><Relationship Id="rId55" Type="http://schemas.openxmlformats.org/officeDocument/2006/relationships/ctrlProp" Target="../ctrlProps/ctrlProp12.xml"/><Relationship Id="rId7" Type="http://schemas.openxmlformats.org/officeDocument/2006/relationships/image" Target="../media/image2.emf"/><Relationship Id="rId12" Type="http://schemas.openxmlformats.org/officeDocument/2006/relationships/image" Target="../media/image4.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9.xml"/><Relationship Id="rId38" Type="http://schemas.openxmlformats.org/officeDocument/2006/relationships/control" Target="../activeX/activeX24.xml"/><Relationship Id="rId46"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6.xml"/><Relationship Id="rId41" Type="http://schemas.openxmlformats.org/officeDocument/2006/relationships/image" Target="../media/image13.emf"/><Relationship Id="rId54"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image" Target="../media/image10.emf"/><Relationship Id="rId32" Type="http://schemas.openxmlformats.org/officeDocument/2006/relationships/control" Target="../activeX/activeX18.xml"/><Relationship Id="rId37" Type="http://schemas.openxmlformats.org/officeDocument/2006/relationships/control" Target="../activeX/activeX23.xml"/><Relationship Id="rId40" Type="http://schemas.openxmlformats.org/officeDocument/2006/relationships/control" Target="../activeX/activeX25.xml"/><Relationship Id="rId45" Type="http://schemas.openxmlformats.org/officeDocument/2006/relationships/ctrlProp" Target="../ctrlProps/ctrlProp2.xml"/><Relationship Id="rId53" Type="http://schemas.openxmlformats.org/officeDocument/2006/relationships/ctrlProp" Target="../ctrlProps/ctrlProp10.xml"/><Relationship Id="rId5" Type="http://schemas.openxmlformats.org/officeDocument/2006/relationships/image" Target="../media/image1.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control" Target="../activeX/activeX15.xml"/><Relationship Id="rId36" Type="http://schemas.openxmlformats.org/officeDocument/2006/relationships/control" Target="../activeX/activeX22.xml"/><Relationship Id="rId49" Type="http://schemas.openxmlformats.org/officeDocument/2006/relationships/ctrlProp" Target="../ctrlProps/ctrlProp6.xml"/><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control" Target="../activeX/activeX17.xml"/><Relationship Id="rId44" Type="http://schemas.openxmlformats.org/officeDocument/2006/relationships/ctrlProp" Target="../ctrlProps/ctrlProp1.xml"/><Relationship Id="rId52" Type="http://schemas.openxmlformats.org/officeDocument/2006/relationships/ctrlProp" Target="../ctrlProps/ctrlProp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4.xml"/><Relationship Id="rId30" Type="http://schemas.openxmlformats.org/officeDocument/2006/relationships/image" Target="../media/image11.emf"/><Relationship Id="rId35" Type="http://schemas.openxmlformats.org/officeDocument/2006/relationships/control" Target="../activeX/activeX21.xml"/><Relationship Id="rId43" Type="http://schemas.openxmlformats.org/officeDocument/2006/relationships/image" Target="../media/image14.emf"/><Relationship Id="rId48" Type="http://schemas.openxmlformats.org/officeDocument/2006/relationships/ctrlProp" Target="../ctrlProps/ctrlProp5.xml"/><Relationship Id="rId8" Type="http://schemas.openxmlformats.org/officeDocument/2006/relationships/control" Target="../activeX/activeX3.xml"/><Relationship Id="rId51" Type="http://schemas.openxmlformats.org/officeDocument/2006/relationships/ctrlProp" Target="../ctrlProps/ctrlProp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19.emf"/><Relationship Id="rId3" Type="http://schemas.openxmlformats.org/officeDocument/2006/relationships/vmlDrawing" Target="../drawings/vmlDrawing2.vml"/><Relationship Id="rId7" Type="http://schemas.openxmlformats.org/officeDocument/2006/relationships/image" Target="../media/image16.emf"/><Relationship Id="rId12" Type="http://schemas.openxmlformats.org/officeDocument/2006/relationships/control" Target="../activeX/activeX3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8.xml"/><Relationship Id="rId11" Type="http://schemas.openxmlformats.org/officeDocument/2006/relationships/image" Target="../media/image18.emf"/><Relationship Id="rId5" Type="http://schemas.openxmlformats.org/officeDocument/2006/relationships/image" Target="../media/image15.emf"/><Relationship Id="rId15" Type="http://schemas.openxmlformats.org/officeDocument/2006/relationships/ctrlProp" Target="../ctrlProps/ctrlProp14.xml"/><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17.emf"/><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37.xml"/><Relationship Id="rId18" Type="http://schemas.openxmlformats.org/officeDocument/2006/relationships/image" Target="../media/image25.emf"/><Relationship Id="rId26" Type="http://schemas.openxmlformats.org/officeDocument/2006/relationships/control" Target="../activeX/activeX47.xml"/><Relationship Id="rId39" Type="http://schemas.openxmlformats.org/officeDocument/2006/relationships/ctrlProp" Target="../ctrlProps/ctrlProp20.xml"/><Relationship Id="rId3" Type="http://schemas.openxmlformats.org/officeDocument/2006/relationships/vmlDrawing" Target="../drawings/vmlDrawing3.vml"/><Relationship Id="rId21" Type="http://schemas.openxmlformats.org/officeDocument/2006/relationships/control" Target="../activeX/activeX42.xml"/><Relationship Id="rId34" Type="http://schemas.openxmlformats.org/officeDocument/2006/relationships/ctrlProp" Target="../ctrlProps/ctrlProp15.xml"/><Relationship Id="rId42" Type="http://schemas.openxmlformats.org/officeDocument/2006/relationships/ctrlProp" Target="../ctrlProps/ctrlProp23.xml"/><Relationship Id="rId47" Type="http://schemas.openxmlformats.org/officeDocument/2006/relationships/ctrlProp" Target="../ctrlProps/ctrlProp28.xml"/><Relationship Id="rId50" Type="http://schemas.openxmlformats.org/officeDocument/2006/relationships/ctrlProp" Target="../ctrlProps/ctrlProp31.xml"/><Relationship Id="rId7" Type="http://schemas.openxmlformats.org/officeDocument/2006/relationships/image" Target="../media/image21.emf"/><Relationship Id="rId12" Type="http://schemas.openxmlformats.org/officeDocument/2006/relationships/image" Target="../media/image22.emf"/><Relationship Id="rId17" Type="http://schemas.openxmlformats.org/officeDocument/2006/relationships/control" Target="../activeX/activeX39.xml"/><Relationship Id="rId25" Type="http://schemas.openxmlformats.org/officeDocument/2006/relationships/control" Target="../activeX/activeX46.xml"/><Relationship Id="rId33" Type="http://schemas.openxmlformats.org/officeDocument/2006/relationships/image" Target="../media/image27.emf"/><Relationship Id="rId38" Type="http://schemas.openxmlformats.org/officeDocument/2006/relationships/ctrlProp" Target="../ctrlProps/ctrlProp19.xml"/><Relationship Id="rId46" Type="http://schemas.openxmlformats.org/officeDocument/2006/relationships/ctrlProp" Target="../ctrlProps/ctrlProp27.xml"/><Relationship Id="rId2" Type="http://schemas.openxmlformats.org/officeDocument/2006/relationships/drawing" Target="../drawings/drawing3.xml"/><Relationship Id="rId16" Type="http://schemas.openxmlformats.org/officeDocument/2006/relationships/image" Target="../media/image24.emf"/><Relationship Id="rId20" Type="http://schemas.openxmlformats.org/officeDocument/2006/relationships/control" Target="../activeX/activeX41.xml"/><Relationship Id="rId29" Type="http://schemas.openxmlformats.org/officeDocument/2006/relationships/image" Target="../media/image26.emf"/><Relationship Id="rId41" Type="http://schemas.openxmlformats.org/officeDocument/2006/relationships/ctrlProp" Target="../ctrlProps/ctrlProp22.xml"/><Relationship Id="rId1" Type="http://schemas.openxmlformats.org/officeDocument/2006/relationships/printerSettings" Target="../printerSettings/printerSettings3.bin"/><Relationship Id="rId6" Type="http://schemas.openxmlformats.org/officeDocument/2006/relationships/control" Target="../activeX/activeX33.xml"/><Relationship Id="rId11" Type="http://schemas.openxmlformats.org/officeDocument/2006/relationships/control" Target="../activeX/activeX36.xml"/><Relationship Id="rId24" Type="http://schemas.openxmlformats.org/officeDocument/2006/relationships/control" Target="../activeX/activeX45.xml"/><Relationship Id="rId32" Type="http://schemas.openxmlformats.org/officeDocument/2006/relationships/control" Target="../activeX/activeX51.xml"/><Relationship Id="rId37" Type="http://schemas.openxmlformats.org/officeDocument/2006/relationships/ctrlProp" Target="../ctrlProps/ctrlProp18.xml"/><Relationship Id="rId40" Type="http://schemas.openxmlformats.org/officeDocument/2006/relationships/ctrlProp" Target="../ctrlProps/ctrlProp21.xml"/><Relationship Id="rId45" Type="http://schemas.openxmlformats.org/officeDocument/2006/relationships/ctrlProp" Target="../ctrlProps/ctrlProp26.xml"/><Relationship Id="rId5" Type="http://schemas.openxmlformats.org/officeDocument/2006/relationships/image" Target="../media/image20.emf"/><Relationship Id="rId15" Type="http://schemas.openxmlformats.org/officeDocument/2006/relationships/control" Target="../activeX/activeX38.xml"/><Relationship Id="rId23" Type="http://schemas.openxmlformats.org/officeDocument/2006/relationships/control" Target="../activeX/activeX44.xml"/><Relationship Id="rId28" Type="http://schemas.openxmlformats.org/officeDocument/2006/relationships/control" Target="../activeX/activeX49.xml"/><Relationship Id="rId36" Type="http://schemas.openxmlformats.org/officeDocument/2006/relationships/ctrlProp" Target="../ctrlProps/ctrlProp17.xml"/><Relationship Id="rId49" Type="http://schemas.openxmlformats.org/officeDocument/2006/relationships/ctrlProp" Target="../ctrlProps/ctrlProp30.xml"/><Relationship Id="rId10" Type="http://schemas.openxmlformats.org/officeDocument/2006/relationships/control" Target="../activeX/activeX35.xml"/><Relationship Id="rId19" Type="http://schemas.openxmlformats.org/officeDocument/2006/relationships/control" Target="../activeX/activeX40.xml"/><Relationship Id="rId31" Type="http://schemas.openxmlformats.org/officeDocument/2006/relationships/image" Target="../media/image8.emf"/><Relationship Id="rId44" Type="http://schemas.openxmlformats.org/officeDocument/2006/relationships/ctrlProp" Target="../ctrlProps/ctrlProp25.xml"/><Relationship Id="rId4" Type="http://schemas.openxmlformats.org/officeDocument/2006/relationships/control" Target="../activeX/activeX32.xml"/><Relationship Id="rId9" Type="http://schemas.openxmlformats.org/officeDocument/2006/relationships/image" Target="../media/image13.emf"/><Relationship Id="rId14" Type="http://schemas.openxmlformats.org/officeDocument/2006/relationships/image" Target="../media/image23.emf"/><Relationship Id="rId22" Type="http://schemas.openxmlformats.org/officeDocument/2006/relationships/control" Target="../activeX/activeX43.xml"/><Relationship Id="rId27" Type="http://schemas.openxmlformats.org/officeDocument/2006/relationships/control" Target="../activeX/activeX48.xml"/><Relationship Id="rId30" Type="http://schemas.openxmlformats.org/officeDocument/2006/relationships/control" Target="../activeX/activeX50.xml"/><Relationship Id="rId35" Type="http://schemas.openxmlformats.org/officeDocument/2006/relationships/ctrlProp" Target="../ctrlProps/ctrlProp16.xml"/><Relationship Id="rId43" Type="http://schemas.openxmlformats.org/officeDocument/2006/relationships/ctrlProp" Target="../ctrlProps/ctrlProp24.xml"/><Relationship Id="rId48" Type="http://schemas.openxmlformats.org/officeDocument/2006/relationships/ctrlProp" Target="../ctrlProps/ctrlProp29.xml"/><Relationship Id="rId8"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4.xml"/><Relationship Id="rId13" Type="http://schemas.openxmlformats.org/officeDocument/2006/relationships/image" Target="../media/image32.emf"/><Relationship Id="rId3" Type="http://schemas.openxmlformats.org/officeDocument/2006/relationships/vmlDrawing" Target="../drawings/vmlDrawing4.vml"/><Relationship Id="rId7" Type="http://schemas.openxmlformats.org/officeDocument/2006/relationships/image" Target="../media/image29.emf"/><Relationship Id="rId12" Type="http://schemas.openxmlformats.org/officeDocument/2006/relationships/control" Target="../activeX/activeX5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3.xml"/><Relationship Id="rId11" Type="http://schemas.openxmlformats.org/officeDocument/2006/relationships/image" Target="../media/image31.emf"/><Relationship Id="rId5" Type="http://schemas.openxmlformats.org/officeDocument/2006/relationships/image" Target="../media/image28.emf"/><Relationship Id="rId10" Type="http://schemas.openxmlformats.org/officeDocument/2006/relationships/control" Target="../activeX/activeX55.xml"/><Relationship Id="rId4" Type="http://schemas.openxmlformats.org/officeDocument/2006/relationships/control" Target="../activeX/activeX52.xml"/><Relationship Id="rId9" Type="http://schemas.openxmlformats.org/officeDocument/2006/relationships/image" Target="../media/image30.emf"/><Relationship Id="rId14"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F8AA9-FAC6-46BD-A0ED-300BFE05307D}">
  <sheetPr published="0" codeName="Sheet3">
    <tabColor theme="9" tint="-0.249977111117893"/>
  </sheetPr>
  <dimension ref="A1:Z75"/>
  <sheetViews>
    <sheetView showGridLines="0" showRowColHeaders="0" tabSelected="1" zoomScale="70" zoomScaleNormal="70" workbookViewId="0">
      <selection activeCell="K8" sqref="K8"/>
    </sheetView>
  </sheetViews>
  <sheetFormatPr defaultRowHeight="15" x14ac:dyDescent="0.25"/>
  <cols>
    <col min="11" max="19" width="9.140625" customWidth="1"/>
  </cols>
  <sheetData>
    <row r="1" spans="1:11" ht="15" customHeight="1" x14ac:dyDescent="0.25">
      <c r="A1" s="220" t="s">
        <v>115</v>
      </c>
      <c r="B1" s="220"/>
      <c r="C1" s="220"/>
      <c r="D1" s="220"/>
      <c r="E1" s="220"/>
      <c r="F1" s="220"/>
      <c r="G1" s="220"/>
      <c r="H1" s="221"/>
      <c r="J1" s="213" t="s">
        <v>108</v>
      </c>
      <c r="K1" s="213"/>
    </row>
    <row r="2" spans="1:11" ht="15" customHeight="1" x14ac:dyDescent="0.25">
      <c r="A2" s="222"/>
      <c r="B2" s="222"/>
      <c r="C2" s="222"/>
      <c r="D2" s="222"/>
      <c r="E2" s="222"/>
      <c r="F2" s="222"/>
      <c r="G2" s="222"/>
      <c r="H2" s="223"/>
      <c r="J2" s="214"/>
      <c r="K2" s="214"/>
    </row>
    <row r="3" spans="1:11" ht="15" customHeight="1" x14ac:dyDescent="0.25">
      <c r="A3" s="224" t="s">
        <v>6</v>
      </c>
      <c r="B3" s="224"/>
      <c r="C3" s="224"/>
      <c r="D3" s="224"/>
      <c r="E3" s="224"/>
      <c r="F3" s="224"/>
      <c r="G3" s="224"/>
      <c r="H3" s="224"/>
      <c r="I3" s="112" t="s">
        <v>128</v>
      </c>
      <c r="J3" s="103" t="b">
        <v>0</v>
      </c>
      <c r="K3" s="104"/>
    </row>
    <row r="4" spans="1:11" ht="15" customHeight="1" x14ac:dyDescent="0.25">
      <c r="A4" s="224"/>
      <c r="B4" s="224"/>
      <c r="C4" s="224"/>
      <c r="D4" s="224"/>
      <c r="E4" s="224"/>
      <c r="F4" s="224"/>
      <c r="G4" s="224"/>
      <c r="H4" s="224"/>
      <c r="J4" s="105"/>
      <c r="K4" s="106"/>
    </row>
    <row r="5" spans="1:11" ht="15" customHeight="1" x14ac:dyDescent="0.25">
      <c r="A5" s="224" t="s">
        <v>4</v>
      </c>
      <c r="B5" s="224"/>
      <c r="C5" s="224"/>
      <c r="D5" s="224"/>
      <c r="E5" s="224"/>
      <c r="F5" s="224"/>
      <c r="G5" s="224"/>
      <c r="H5" s="224"/>
      <c r="J5" s="229" t="s">
        <v>62</v>
      </c>
      <c r="K5" s="230"/>
    </row>
    <row r="6" spans="1:11" ht="15" customHeight="1" x14ac:dyDescent="0.25">
      <c r="A6" s="224"/>
      <c r="B6" s="224"/>
      <c r="C6" s="224"/>
      <c r="D6" s="224"/>
      <c r="E6" s="224"/>
      <c r="F6" s="224"/>
      <c r="G6" s="224"/>
      <c r="H6" s="224"/>
      <c r="J6" s="169"/>
      <c r="K6" s="171"/>
    </row>
    <row r="7" spans="1:11" ht="15" customHeight="1" x14ac:dyDescent="0.25">
      <c r="A7" s="224" t="s">
        <v>0</v>
      </c>
      <c r="B7" s="224"/>
      <c r="C7" s="224"/>
      <c r="D7" s="224"/>
      <c r="E7" s="224"/>
      <c r="F7" s="224"/>
      <c r="G7" s="224"/>
      <c r="H7" s="224"/>
      <c r="J7" s="1"/>
      <c r="K7" s="1"/>
    </row>
    <row r="8" spans="1:11" ht="15" customHeight="1" x14ac:dyDescent="0.25">
      <c r="A8" s="224"/>
      <c r="B8" s="224"/>
      <c r="C8" s="224"/>
      <c r="D8" s="224"/>
      <c r="E8" s="224"/>
      <c r="F8" s="224"/>
      <c r="G8" s="224"/>
      <c r="H8" s="224"/>
      <c r="J8" s="1" t="s">
        <v>62</v>
      </c>
      <c r="K8" s="1"/>
    </row>
    <row r="9" spans="1:11" ht="15" customHeight="1" x14ac:dyDescent="0.25">
      <c r="A9" s="224" t="s">
        <v>1</v>
      </c>
      <c r="B9" s="224"/>
      <c r="C9" s="224"/>
      <c r="D9" s="224"/>
      <c r="E9" s="224"/>
      <c r="F9" s="224"/>
      <c r="G9" s="224"/>
      <c r="H9" s="224"/>
      <c r="J9" s="1"/>
      <c r="K9" s="1"/>
    </row>
    <row r="10" spans="1:11" ht="15" customHeight="1" x14ac:dyDescent="0.25">
      <c r="A10" s="224"/>
      <c r="B10" s="224"/>
      <c r="C10" s="224"/>
      <c r="D10" s="224"/>
      <c r="E10" s="224"/>
      <c r="F10" s="224"/>
      <c r="G10" s="224"/>
      <c r="H10" s="224"/>
      <c r="J10" s="1"/>
      <c r="K10" s="1"/>
    </row>
    <row r="11" spans="1:11" ht="15" customHeight="1" x14ac:dyDescent="0.25">
      <c r="A11" s="172" t="s">
        <v>27</v>
      </c>
      <c r="B11" s="173"/>
      <c r="C11" s="173"/>
      <c r="D11" s="173"/>
      <c r="E11" s="173"/>
      <c r="F11" s="173"/>
      <c r="G11" s="173"/>
      <c r="H11" s="174"/>
      <c r="J11" s="1"/>
      <c r="K11" s="1"/>
    </row>
    <row r="12" spans="1:11" ht="15" customHeight="1" x14ac:dyDescent="0.25">
      <c r="A12" s="158" t="s">
        <v>26</v>
      </c>
      <c r="B12" s="159"/>
      <c r="C12" s="159"/>
      <c r="D12" s="159"/>
      <c r="E12" s="159"/>
      <c r="F12" s="159"/>
      <c r="G12" s="159"/>
      <c r="H12" s="211"/>
      <c r="J12" s="233" t="s">
        <v>46</v>
      </c>
      <c r="K12" s="233"/>
    </row>
    <row r="13" spans="1:11" ht="15" customHeight="1" x14ac:dyDescent="0.25">
      <c r="A13" s="160"/>
      <c r="B13" s="161"/>
      <c r="C13" s="161"/>
      <c r="D13" s="161"/>
      <c r="E13" s="161"/>
      <c r="F13" s="161"/>
      <c r="G13" s="161"/>
      <c r="H13" s="212"/>
      <c r="J13" s="233"/>
      <c r="K13" s="233"/>
    </row>
    <row r="14" spans="1:11" ht="15" customHeight="1" x14ac:dyDescent="0.25">
      <c r="A14" s="158" t="s">
        <v>30</v>
      </c>
      <c r="B14" s="159"/>
      <c r="C14" s="159"/>
      <c r="D14" s="159"/>
      <c r="E14" s="159"/>
      <c r="F14" s="159"/>
      <c r="G14" s="159"/>
      <c r="H14" s="211"/>
      <c r="J14" s="234">
        <f>IF('SAVE DATA'!A12="",1,'SAVE DATA'!A12)</f>
        <v>1</v>
      </c>
      <c r="K14" s="234"/>
    </row>
    <row r="15" spans="1:11" ht="15" customHeight="1" x14ac:dyDescent="0.25">
      <c r="A15" s="160"/>
      <c r="B15" s="161"/>
      <c r="C15" s="161"/>
      <c r="D15" s="161"/>
      <c r="E15" s="161"/>
      <c r="F15" s="161"/>
      <c r="G15" s="161"/>
      <c r="H15" s="212"/>
      <c r="J15" s="234">
        <f>IF('SAVE DATA'!A22="",2,'SAVE DATA'!A22)</f>
        <v>2</v>
      </c>
      <c r="K15" s="234"/>
    </row>
    <row r="16" spans="1:11" ht="15" customHeight="1" x14ac:dyDescent="0.25">
      <c r="A16" s="158" t="str">
        <f>IF(Competitors!B$17=1,"Shipping: ***","Shipping:")</f>
        <v>Shipping:</v>
      </c>
      <c r="B16" s="159"/>
      <c r="C16" s="159"/>
      <c r="D16" s="159"/>
      <c r="E16" s="159"/>
      <c r="F16" s="159"/>
      <c r="G16" s="159"/>
      <c r="H16" s="211"/>
      <c r="J16" s="234">
        <f>IF('SAVE DATA'!A32="",3,'SAVE DATA'!A32)</f>
        <v>3</v>
      </c>
      <c r="K16" s="234"/>
    </row>
    <row r="17" spans="1:26" ht="15" customHeight="1" x14ac:dyDescent="0.25">
      <c r="A17" s="160"/>
      <c r="B17" s="161"/>
      <c r="C17" s="161"/>
      <c r="D17" s="161"/>
      <c r="E17" s="161"/>
      <c r="F17" s="161"/>
      <c r="G17" s="161"/>
      <c r="H17" s="212"/>
      <c r="J17" s="234">
        <f>IF('SAVE DATA'!A42="",4,'SAVE DATA'!A42)</f>
        <v>4</v>
      </c>
      <c r="K17" s="234"/>
    </row>
    <row r="18" spans="1:26" ht="15" customHeight="1" x14ac:dyDescent="0.25">
      <c r="A18" s="158" t="str">
        <f>IF(Competitors!B$17=1,"Processing: ***","Processing:")</f>
        <v>Processing:</v>
      </c>
      <c r="B18" s="159"/>
      <c r="C18" s="159"/>
      <c r="D18" s="159"/>
      <c r="E18" s="159"/>
      <c r="F18" s="159"/>
      <c r="G18" s="159"/>
      <c r="H18" s="211"/>
      <c r="J18" s="234">
        <f>IF('SAVE DATA'!A52="",5,'SAVE DATA'!A52)</f>
        <v>5</v>
      </c>
      <c r="K18" s="234"/>
    </row>
    <row r="19" spans="1:26" ht="15" customHeight="1" x14ac:dyDescent="0.25">
      <c r="A19" s="160"/>
      <c r="B19" s="161"/>
      <c r="C19" s="161"/>
      <c r="D19" s="161"/>
      <c r="E19" s="161"/>
      <c r="F19" s="161"/>
      <c r="G19" s="161"/>
      <c r="H19" s="212"/>
      <c r="J19" s="231" t="s">
        <v>44</v>
      </c>
      <c r="K19" s="232" t="s">
        <v>45</v>
      </c>
    </row>
    <row r="20" spans="1:26" ht="15" customHeight="1" x14ac:dyDescent="0.25">
      <c r="A20" s="158" t="s">
        <v>35</v>
      </c>
      <c r="B20" s="159"/>
      <c r="C20" s="159"/>
      <c r="D20" s="159"/>
      <c r="E20" s="162" t="str">
        <f>DOLLAR('MAIN - CL'!B12)</f>
        <v>$0.00</v>
      </c>
      <c r="F20" s="162"/>
      <c r="G20" s="162"/>
      <c r="H20" s="163"/>
      <c r="J20" s="231"/>
      <c r="K20" s="232"/>
      <c r="T20" s="125"/>
      <c r="U20" s="129"/>
      <c r="V20" s="129"/>
      <c r="W20" s="72"/>
      <c r="X20" s="1"/>
      <c r="Y20" s="1"/>
      <c r="Z20" s="1"/>
    </row>
    <row r="21" spans="1:26" ht="15" customHeight="1" x14ac:dyDescent="0.25">
      <c r="A21" s="160"/>
      <c r="B21" s="161"/>
      <c r="C21" s="161"/>
      <c r="D21" s="161"/>
      <c r="E21" s="164"/>
      <c r="F21" s="164"/>
      <c r="G21" s="164"/>
      <c r="H21" s="165"/>
      <c r="J21" s="1"/>
      <c r="K21" s="40"/>
      <c r="L21" s="40"/>
    </row>
    <row r="22" spans="1:26" ht="15" customHeight="1" x14ac:dyDescent="0.25">
      <c r="A22" s="172" t="s">
        <v>28</v>
      </c>
      <c r="B22" s="173"/>
      <c r="C22" s="173"/>
      <c r="D22" s="173"/>
      <c r="E22" s="173"/>
      <c r="F22" s="173"/>
      <c r="G22" s="173"/>
      <c r="H22" s="174"/>
      <c r="I22" s="39"/>
      <c r="K22" s="40"/>
      <c r="L22" s="40"/>
    </row>
    <row r="23" spans="1:26" ht="15" customHeight="1" x14ac:dyDescent="0.25">
      <c r="A23" s="158" t="s">
        <v>29</v>
      </c>
      <c r="B23" s="159"/>
      <c r="C23" s="159"/>
      <c r="D23" s="159"/>
      <c r="E23" s="159"/>
      <c r="F23" s="159"/>
      <c r="G23" s="159"/>
      <c r="H23" s="211"/>
      <c r="I23" s="39"/>
      <c r="U23" s="53"/>
    </row>
    <row r="24" spans="1:26" ht="15" customHeight="1" x14ac:dyDescent="0.25">
      <c r="A24" s="235"/>
      <c r="B24" s="236"/>
      <c r="C24" s="236"/>
      <c r="D24" s="236"/>
      <c r="E24" s="236"/>
      <c r="F24" s="236"/>
      <c r="G24" s="236"/>
      <c r="H24" s="237"/>
      <c r="I24" s="39"/>
    </row>
    <row r="25" spans="1:26" ht="15" customHeight="1" x14ac:dyDescent="0.25">
      <c r="A25" s="238"/>
      <c r="B25" s="238"/>
      <c r="C25" s="238"/>
      <c r="D25" s="238"/>
      <c r="E25" s="238"/>
      <c r="F25" s="238"/>
      <c r="G25" s="238"/>
      <c r="H25" s="238"/>
      <c r="I25" s="39"/>
    </row>
    <row r="26" spans="1:26" ht="15" customHeight="1" x14ac:dyDescent="0.25">
      <c r="A26" s="238"/>
      <c r="B26" s="238"/>
      <c r="C26" s="238"/>
      <c r="D26" s="238"/>
      <c r="E26" s="238"/>
      <c r="F26" s="238"/>
      <c r="G26" s="238"/>
      <c r="H26" s="238"/>
    </row>
    <row r="27" spans="1:26" ht="15" customHeight="1" x14ac:dyDescent="0.25">
      <c r="A27" s="216" t="s">
        <v>14</v>
      </c>
      <c r="B27" s="217"/>
      <c r="C27" s="217"/>
      <c r="D27" s="217"/>
      <c r="E27" s="218" t="str">
        <f>DOLLAR('MAIN - CL'!B15)</f>
        <v>$0.00</v>
      </c>
      <c r="F27" s="218"/>
      <c r="G27" s="218"/>
      <c r="H27" s="219"/>
    </row>
    <row r="28" spans="1:26" ht="15" customHeight="1" x14ac:dyDescent="0.25">
      <c r="A28" s="160"/>
      <c r="B28" s="161"/>
      <c r="C28" s="161"/>
      <c r="D28" s="161"/>
      <c r="E28" s="164"/>
      <c r="F28" s="164"/>
      <c r="G28" s="164"/>
      <c r="H28" s="165"/>
    </row>
    <row r="29" spans="1:26" ht="15" customHeight="1" x14ac:dyDescent="0.25">
      <c r="A29" s="158" t="s">
        <v>5</v>
      </c>
      <c r="B29" s="159"/>
      <c r="C29" s="159"/>
      <c r="D29" s="159"/>
      <c r="E29" s="162" t="str">
        <f>DOLLAR('MAIN - CL'!B16)</f>
        <v>$0.00</v>
      </c>
      <c r="F29" s="162"/>
      <c r="G29" s="162"/>
      <c r="H29" s="163"/>
    </row>
    <row r="30" spans="1:26" ht="15" customHeight="1" x14ac:dyDescent="0.25">
      <c r="A30" s="160"/>
      <c r="B30" s="161"/>
      <c r="C30" s="161"/>
      <c r="D30" s="161"/>
      <c r="E30" s="164"/>
      <c r="F30" s="164"/>
      <c r="G30" s="164"/>
      <c r="H30" s="165"/>
    </row>
    <row r="31" spans="1:26" ht="15" customHeight="1" x14ac:dyDescent="0.25">
      <c r="A31" s="172" t="s">
        <v>72</v>
      </c>
      <c r="B31" s="173"/>
      <c r="C31" s="173"/>
      <c r="D31" s="173"/>
      <c r="E31" s="173"/>
      <c r="F31" s="239"/>
      <c r="G31" s="173"/>
      <c r="H31" s="174"/>
    </row>
    <row r="32" spans="1:26" ht="15" customHeight="1" x14ac:dyDescent="0.25">
      <c r="A32" s="158" t="s">
        <v>31</v>
      </c>
      <c r="B32" s="159"/>
      <c r="C32" s="211"/>
      <c r="D32" s="191" t="s">
        <v>32</v>
      </c>
      <c r="E32" s="192"/>
      <c r="F32" s="195"/>
      <c r="G32" s="192" t="s">
        <v>33</v>
      </c>
      <c r="H32" s="197"/>
    </row>
    <row r="33" spans="1:8" ht="15" customHeight="1" x14ac:dyDescent="0.25">
      <c r="A33" s="160"/>
      <c r="B33" s="161"/>
      <c r="C33" s="212"/>
      <c r="D33" s="193"/>
      <c r="E33" s="194"/>
      <c r="F33" s="196"/>
      <c r="G33" s="194"/>
      <c r="H33" s="198"/>
    </row>
    <row r="34" spans="1:8" ht="15" customHeight="1" x14ac:dyDescent="0.25">
      <c r="A34" s="225"/>
      <c r="B34" s="226"/>
      <c r="C34" s="226"/>
      <c r="D34" s="226"/>
      <c r="E34" s="226"/>
      <c r="F34" s="227"/>
      <c r="G34" s="226"/>
      <c r="H34" s="228"/>
    </row>
    <row r="35" spans="1:8" ht="15" customHeight="1" x14ac:dyDescent="0.25">
      <c r="A35" s="187" t="s">
        <v>37</v>
      </c>
      <c r="B35" s="188"/>
      <c r="C35" s="188"/>
      <c r="D35" s="191" t="s">
        <v>32</v>
      </c>
      <c r="E35" s="192"/>
      <c r="F35" s="195"/>
      <c r="G35" s="192" t="s">
        <v>33</v>
      </c>
      <c r="H35" s="197"/>
    </row>
    <row r="36" spans="1:8" ht="15" customHeight="1" x14ac:dyDescent="0.25">
      <c r="A36" s="189"/>
      <c r="B36" s="190"/>
      <c r="C36" s="190"/>
      <c r="D36" s="193"/>
      <c r="E36" s="194"/>
      <c r="F36" s="196"/>
      <c r="G36" s="194"/>
      <c r="H36" s="198"/>
    </row>
    <row r="37" spans="1:8" ht="15" customHeight="1" x14ac:dyDescent="0.25">
      <c r="A37" s="158" t="str">
        <f>IF(F35=1,"Price Match Difference:","Promo Code Amount:")</f>
        <v>Promo Code Amount:</v>
      </c>
      <c r="B37" s="159"/>
      <c r="C37" s="159"/>
      <c r="D37" s="215" t="str">
        <f>DOLLAR('MAIN - CL'!B20)</f>
        <v>$0.00</v>
      </c>
      <c r="E37" s="162"/>
      <c r="F37" s="162"/>
      <c r="G37" s="162"/>
      <c r="H37" s="163"/>
    </row>
    <row r="38" spans="1:8" ht="15" customHeight="1" x14ac:dyDescent="0.25">
      <c r="A38" s="160"/>
      <c r="B38" s="161"/>
      <c r="C38" s="161"/>
      <c r="D38" s="164"/>
      <c r="E38" s="164"/>
      <c r="F38" s="164"/>
      <c r="G38" s="164"/>
      <c r="H38" s="165"/>
    </row>
    <row r="39" spans="1:8" ht="15" customHeight="1" x14ac:dyDescent="0.25">
      <c r="A39" s="205"/>
      <c r="B39" s="206"/>
      <c r="C39" s="206"/>
      <c r="D39" s="206"/>
      <c r="E39" s="206"/>
      <c r="F39" s="206"/>
      <c r="G39" s="206"/>
      <c r="H39" s="207"/>
    </row>
    <row r="40" spans="1:8" ht="15" customHeight="1" x14ac:dyDescent="0.25">
      <c r="A40" s="208"/>
      <c r="B40" s="209"/>
      <c r="C40" s="209"/>
      <c r="D40" s="209"/>
      <c r="E40" s="209"/>
      <c r="F40" s="209"/>
      <c r="G40" s="209"/>
      <c r="H40" s="210"/>
    </row>
    <row r="41" spans="1:8" ht="15" customHeight="1" x14ac:dyDescent="0.25"/>
    <row r="42" spans="1:8" ht="15" customHeight="1" x14ac:dyDescent="0.25">
      <c r="A42" s="181" t="s">
        <v>42</v>
      </c>
      <c r="B42" s="182"/>
      <c r="C42" s="182"/>
      <c r="D42" s="182"/>
      <c r="E42" s="182"/>
      <c r="F42" s="182"/>
      <c r="G42" s="182"/>
      <c r="H42" s="183"/>
    </row>
    <row r="43" spans="1:8" ht="15" customHeight="1" x14ac:dyDescent="0.25">
      <c r="A43" s="184"/>
      <c r="B43" s="185"/>
      <c r="C43" s="185"/>
      <c r="D43" s="185"/>
      <c r="E43" s="185"/>
      <c r="F43" s="185"/>
      <c r="G43" s="185"/>
      <c r="H43" s="186"/>
    </row>
    <row r="44" spans="1:8" ht="15" customHeight="1" x14ac:dyDescent="0.25">
      <c r="A44" s="199"/>
      <c r="B44" s="200"/>
      <c r="C44" s="200"/>
      <c r="D44" s="200"/>
      <c r="E44" s="200"/>
      <c r="F44" s="200"/>
      <c r="G44" s="200"/>
      <c r="H44" s="201"/>
    </row>
    <row r="45" spans="1:8" ht="15" customHeight="1" x14ac:dyDescent="0.25">
      <c r="A45" s="202"/>
      <c r="B45" s="203"/>
      <c r="C45" s="203"/>
      <c r="D45" s="203"/>
      <c r="E45" s="203"/>
      <c r="F45" s="203"/>
      <c r="G45" s="203"/>
      <c r="H45" s="204"/>
    </row>
    <row r="46" spans="1:8" ht="15" customHeight="1" x14ac:dyDescent="0.25">
      <c r="A46" s="158" t="str">
        <f>IF(F35=1,"Refund:","Promotion Code:")</f>
        <v>Promotion Code:</v>
      </c>
      <c r="B46" s="159"/>
      <c r="C46" s="159"/>
      <c r="D46" s="162" t="str">
        <f>IF(F35=1,D37,"")</f>
        <v/>
      </c>
      <c r="E46" s="162"/>
      <c r="F46" s="162"/>
      <c r="G46" s="162"/>
      <c r="H46" s="163"/>
    </row>
    <row r="47" spans="1:8" ht="15" customHeight="1" x14ac:dyDescent="0.25">
      <c r="A47" s="160"/>
      <c r="B47" s="161"/>
      <c r="C47" s="161"/>
      <c r="D47" s="164"/>
      <c r="E47" s="164"/>
      <c r="F47" s="164"/>
      <c r="G47" s="164"/>
      <c r="H47" s="165"/>
    </row>
    <row r="48" spans="1:8" ht="15" customHeight="1" x14ac:dyDescent="0.25">
      <c r="A48" s="175"/>
      <c r="B48" s="176"/>
      <c r="C48" s="176"/>
      <c r="D48" s="176"/>
      <c r="E48" s="176"/>
      <c r="F48" s="176"/>
      <c r="G48" s="176"/>
      <c r="H48" s="177"/>
    </row>
    <row r="49" spans="1:8" ht="15" customHeight="1" x14ac:dyDescent="0.25">
      <c r="A49" s="178"/>
      <c r="B49" s="179"/>
      <c r="C49" s="179"/>
      <c r="D49" s="179"/>
      <c r="E49" s="179"/>
      <c r="F49" s="179"/>
      <c r="G49" s="179"/>
      <c r="H49" s="180"/>
    </row>
    <row r="50" spans="1:8" ht="15" customHeight="1" x14ac:dyDescent="0.25"/>
    <row r="51" spans="1:8" ht="15" customHeight="1" x14ac:dyDescent="0.25">
      <c r="C51" s="166"/>
      <c r="D51" s="167"/>
      <c r="E51" s="167"/>
      <c r="F51" s="168"/>
    </row>
    <row r="52" spans="1:8" ht="15" customHeight="1" x14ac:dyDescent="0.25">
      <c r="C52" s="169"/>
      <c r="D52" s="170"/>
      <c r="E52" s="170"/>
      <c r="F52" s="171"/>
    </row>
    <row r="53" spans="1:8" ht="15" customHeight="1" x14ac:dyDescent="0.25">
      <c r="B53" s="40"/>
      <c r="G53" s="40"/>
    </row>
    <row r="54" spans="1:8" ht="15" customHeight="1" x14ac:dyDescent="0.25">
      <c r="B54" s="40"/>
      <c r="G54" s="40"/>
    </row>
    <row r="55" spans="1:8" ht="15" customHeight="1" x14ac:dyDescent="0.25">
      <c r="B55" s="40"/>
      <c r="G55" s="40"/>
    </row>
    <row r="56" spans="1:8" ht="15" customHeight="1" x14ac:dyDescent="0.25"/>
    <row r="57" spans="1:8" ht="15" customHeight="1" x14ac:dyDescent="0.25"/>
    <row r="58" spans="1:8" ht="15" customHeight="1" x14ac:dyDescent="0.25"/>
    <row r="59" spans="1:8" ht="15" customHeight="1" x14ac:dyDescent="0.25"/>
    <row r="60" spans="1:8" ht="15" customHeight="1" x14ac:dyDescent="0.25"/>
    <row r="61" spans="1:8" ht="15" customHeight="1" x14ac:dyDescent="0.25"/>
    <row r="62" spans="1:8" ht="15" customHeight="1" x14ac:dyDescent="0.25"/>
    <row r="63" spans="1:8" ht="15" customHeight="1" x14ac:dyDescent="0.25"/>
    <row r="64" spans="1:8"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sheetData>
  <sheetProtection algorithmName="SHA-512" hashValue="Y8b9iY67vaw//a+7CY3mwBPrVgGvnvKQxR3STaxRPLfjd6+Z8Vq1cH4d7k7S0xoBMjdmdjHrbMQ322gd7SDKSw==" saltValue="h0eS9Oa1buLklxeoj1H8lA==" spinCount="100000" sheet="1" objects="1" scenarios="1"/>
  <mergeCells count="48">
    <mergeCell ref="F32:F33"/>
    <mergeCell ref="G32:H33"/>
    <mergeCell ref="A23:H24"/>
    <mergeCell ref="A18:H19"/>
    <mergeCell ref="A25:H26"/>
    <mergeCell ref="A31:H31"/>
    <mergeCell ref="A22:H22"/>
    <mergeCell ref="J5:K6"/>
    <mergeCell ref="J19:J20"/>
    <mergeCell ref="K19:K20"/>
    <mergeCell ref="J12:K13"/>
    <mergeCell ref="J14:K14"/>
    <mergeCell ref="J15:K15"/>
    <mergeCell ref="J16:K16"/>
    <mergeCell ref="J17:K17"/>
    <mergeCell ref="J18:K18"/>
    <mergeCell ref="J1:K2"/>
    <mergeCell ref="A37:C38"/>
    <mergeCell ref="D37:H38"/>
    <mergeCell ref="A27:D28"/>
    <mergeCell ref="E27:H28"/>
    <mergeCell ref="A29:D30"/>
    <mergeCell ref="E29:H30"/>
    <mergeCell ref="A20:D21"/>
    <mergeCell ref="E20:H21"/>
    <mergeCell ref="A1:H2"/>
    <mergeCell ref="A16:H17"/>
    <mergeCell ref="A3:H4"/>
    <mergeCell ref="A5:H6"/>
    <mergeCell ref="A7:H8"/>
    <mergeCell ref="A9:H10"/>
    <mergeCell ref="A34:H34"/>
    <mergeCell ref="A46:C47"/>
    <mergeCell ref="D46:H47"/>
    <mergeCell ref="C51:F52"/>
    <mergeCell ref="A11:H11"/>
    <mergeCell ref="A48:H49"/>
    <mergeCell ref="A42:H43"/>
    <mergeCell ref="A35:C36"/>
    <mergeCell ref="D35:E36"/>
    <mergeCell ref="F35:F36"/>
    <mergeCell ref="G35:H36"/>
    <mergeCell ref="A44:H45"/>
    <mergeCell ref="A39:H40"/>
    <mergeCell ref="A12:H13"/>
    <mergeCell ref="A14:H15"/>
    <mergeCell ref="D32:E33"/>
    <mergeCell ref="A32:C33"/>
  </mergeCells>
  <conditionalFormatting sqref="F32 F35">
    <cfRule type="cellIs" dxfId="11" priority="5" operator="equal">
      <formula>2</formula>
    </cfRule>
  </conditionalFormatting>
  <conditionalFormatting sqref="F32:F33 F35:F36">
    <cfRule type="cellIs" dxfId="10" priority="4" operator="equal">
      <formula>1</formula>
    </cfRule>
  </conditionalFormatting>
  <conditionalFormatting sqref="A39">
    <cfRule type="expression" dxfId="9" priority="10">
      <formula>$J$3=FALSE</formula>
    </cfRule>
  </conditionalFormatting>
  <conditionalFormatting sqref="A16:H19">
    <cfRule type="notContainsText" dxfId="8" priority="1" operator="notContains" text="***">
      <formula>ISERROR(SEARCH("***",A16))</formula>
    </cfRule>
  </conditionalFormatting>
  <conditionalFormatting sqref="A16:H19">
    <cfRule type="endsWith" dxfId="7" priority="2" operator="endsWith" text="***">
      <formula>RIGHT(A16,LEN("***"))="***"</formula>
    </cfRule>
  </conditionalFormatting>
  <dataValidations count="1">
    <dataValidation allowBlank="1" showInputMessage="1" showErrorMessage="1" prompt="Difference rounded up to the nearest 5." sqref="D37:H38" xr:uid="{96C626AB-A6EF-4F5E-85FD-14D9F2A7D2B4}"/>
  </dataValidations>
  <pageMargins left="0.7" right="0.7" top="0.75" bottom="0.75" header="0.3" footer="0.3"/>
  <pageSetup orientation="portrait" r:id="rId1"/>
  <drawing r:id="rId2"/>
  <legacyDrawing r:id="rId3"/>
  <controls>
    <mc:AlternateContent xmlns:mc="http://schemas.openxmlformats.org/markup-compatibility/2006">
      <mc:Choice Requires="x14">
        <control shapeId="3165" r:id="rId4" name="Promonotes">
          <controlPr defaultSize="0" autoLine="0" r:id="rId5">
            <anchor moveWithCells="1">
              <from>
                <xdr:col>0</xdr:col>
                <xdr:colOff>190500</xdr:colOff>
                <xdr:row>43</xdr:row>
                <xdr:rowOff>47625</xdr:rowOff>
              </from>
              <to>
                <xdr:col>7</xdr:col>
                <xdr:colOff>419100</xdr:colOff>
                <xdr:row>44</xdr:row>
                <xdr:rowOff>161925</xdr:rowOff>
              </to>
            </anchor>
          </controlPr>
        </control>
      </mc:Choice>
      <mc:Fallback>
        <control shapeId="3165" r:id="rId4" name="Promonotes"/>
      </mc:Fallback>
    </mc:AlternateContent>
    <mc:AlternateContent xmlns:mc="http://schemas.openxmlformats.org/markup-compatibility/2006">
      <mc:Choice Requires="x14">
        <control shapeId="3163" r:id="rId6" name="cldenial">
          <controlPr defaultSize="0" autoLine="0" r:id="rId7">
            <anchor moveWithCells="1">
              <from>
                <xdr:col>9</xdr:col>
                <xdr:colOff>38100</xdr:colOff>
                <xdr:row>4</xdr:row>
                <xdr:rowOff>57150</xdr:rowOff>
              </from>
              <to>
                <xdr:col>10</xdr:col>
                <xdr:colOff>571500</xdr:colOff>
                <xdr:row>5</xdr:row>
                <xdr:rowOff>171450</xdr:rowOff>
              </to>
            </anchor>
          </controlPr>
        </control>
      </mc:Choice>
      <mc:Fallback>
        <control shapeId="3163" r:id="rId6" name="cldenial"/>
      </mc:Fallback>
    </mc:AlternateContent>
    <mc:AlternateContent xmlns:mc="http://schemas.openxmlformats.org/markup-compatibility/2006">
      <mc:Choice Requires="x14">
        <control shapeId="3159" r:id="rId8" name="ComboBox1">
          <controlPr defaultSize="0" autoLine="0" listFillRange="Competitors!A1:A15" r:id="rId9">
            <anchor moveWithCells="1">
              <from>
                <xdr:col>3</xdr:col>
                <xdr:colOff>76200</xdr:colOff>
                <xdr:row>11</xdr:row>
                <xdr:rowOff>47625</xdr:rowOff>
              </from>
              <to>
                <xdr:col>5</xdr:col>
                <xdr:colOff>200025</xdr:colOff>
                <xdr:row>12</xdr:row>
                <xdr:rowOff>152400</xdr:rowOff>
              </to>
            </anchor>
          </controlPr>
        </control>
      </mc:Choice>
      <mc:Fallback>
        <control shapeId="3159" r:id="rId8" name="ComboBox1"/>
      </mc:Fallback>
    </mc:AlternateContent>
    <mc:AlternateContent xmlns:mc="http://schemas.openxmlformats.org/markup-compatibility/2006">
      <mc:Choice Requires="x14">
        <control shapeId="3158" r:id="rId10" name="ComboBox2">
          <controlPr defaultSize="0" autoLine="0" listFillRange="Competitors!A1:A15" r:id="rId9">
            <anchor moveWithCells="1">
              <from>
                <xdr:col>5</xdr:col>
                <xdr:colOff>457200</xdr:colOff>
                <xdr:row>11</xdr:row>
                <xdr:rowOff>47625</xdr:rowOff>
              </from>
              <to>
                <xdr:col>7</xdr:col>
                <xdr:colOff>581025</xdr:colOff>
                <xdr:row>12</xdr:row>
                <xdr:rowOff>152400</xdr:rowOff>
              </to>
            </anchor>
          </controlPr>
        </control>
      </mc:Choice>
      <mc:Fallback>
        <control shapeId="3158" r:id="rId10" name="ComboBox2"/>
      </mc:Fallback>
    </mc:AlternateContent>
    <mc:AlternateContent xmlns:mc="http://schemas.openxmlformats.org/markup-compatibility/2006">
      <mc:Choice Requires="x14">
        <control shapeId="3138" r:id="rId11" name="clneedinfo">
          <controlPr defaultSize="0" autoLine="0" r:id="rId12">
            <anchor moveWithCells="1">
              <from>
                <xdr:col>9</xdr:col>
                <xdr:colOff>38100</xdr:colOff>
                <xdr:row>2</xdr:row>
                <xdr:rowOff>38100</xdr:rowOff>
              </from>
              <to>
                <xdr:col>10</xdr:col>
                <xdr:colOff>571500</xdr:colOff>
                <xdr:row>3</xdr:row>
                <xdr:rowOff>152400</xdr:rowOff>
              </to>
            </anchor>
          </controlPr>
        </control>
      </mc:Choice>
      <mc:Fallback>
        <control shapeId="3138" r:id="rId11" name="clneedinfo"/>
      </mc:Fallback>
    </mc:AlternateContent>
    <mc:AlternateContent xmlns:mc="http://schemas.openxmlformats.org/markup-compatibility/2006">
      <mc:Choice Requires="x14">
        <control shapeId="3137" r:id="rId13" name="CheckBox1">
          <controlPr defaultSize="0" autoLine="0" linkedCell="J3" r:id="rId14">
            <anchor moveWithCells="1">
              <from>
                <xdr:col>0</xdr:col>
                <xdr:colOff>152400</xdr:colOff>
                <xdr:row>24</xdr:row>
                <xdr:rowOff>28575</xdr:rowOff>
              </from>
              <to>
                <xdr:col>7</xdr:col>
                <xdr:colOff>552450</xdr:colOff>
                <xdr:row>25</xdr:row>
                <xdr:rowOff>171450</xdr:rowOff>
              </to>
            </anchor>
          </controlPr>
        </control>
      </mc:Choice>
      <mc:Fallback>
        <control shapeId="3137" r:id="rId13" name="CheckBox1"/>
      </mc:Fallback>
    </mc:AlternateContent>
    <mc:AlternateContent xmlns:mc="http://schemas.openxmlformats.org/markup-compatibility/2006">
      <mc:Choice Requires="x14">
        <control shapeId="3136" r:id="rId15" name="clCasenotes">
          <controlPr defaultSize="0" disabled="1" autoLine="0" r:id="rId16">
            <anchor moveWithCells="1">
              <from>
                <xdr:col>0</xdr:col>
                <xdr:colOff>190500</xdr:colOff>
                <xdr:row>38</xdr:row>
                <xdr:rowOff>57150</xdr:rowOff>
              </from>
              <to>
                <xdr:col>7</xdr:col>
                <xdr:colOff>419100</xdr:colOff>
                <xdr:row>39</xdr:row>
                <xdr:rowOff>171450</xdr:rowOff>
              </to>
            </anchor>
          </controlPr>
        </control>
      </mc:Choice>
      <mc:Fallback>
        <control shapeId="3136" r:id="rId15" name="clCasenotes"/>
      </mc:Fallback>
    </mc:AlternateContent>
    <mc:AlternateContent xmlns:mc="http://schemas.openxmlformats.org/markup-compatibility/2006">
      <mc:Choice Requires="x14">
        <control shapeId="3135" r:id="rId17" name="clGenEmail">
          <controlPr defaultSize="0" disabled="1" autoLine="0" autoPict="0" r:id="rId18">
            <anchor moveWithCells="1">
              <from>
                <xdr:col>0</xdr:col>
                <xdr:colOff>190500</xdr:colOff>
                <xdr:row>47</xdr:row>
                <xdr:rowOff>47625</xdr:rowOff>
              </from>
              <to>
                <xdr:col>7</xdr:col>
                <xdr:colOff>419100</xdr:colOff>
                <xdr:row>48</xdr:row>
                <xdr:rowOff>161925</xdr:rowOff>
              </to>
            </anchor>
          </controlPr>
        </control>
      </mc:Choice>
      <mc:Fallback>
        <control shapeId="3135" r:id="rId17" name="clGenEmail"/>
      </mc:Fallback>
    </mc:AlternateContent>
    <mc:AlternateContent xmlns:mc="http://schemas.openxmlformats.org/markup-compatibility/2006">
      <mc:Choice Requires="x14">
        <control shapeId="3073" r:id="rId19" name="TextBox1">
          <controlPr defaultSize="0" autoLine="0" r:id="rId20">
            <anchor moveWithCells="1">
              <from>
                <xdr:col>3</xdr:col>
                <xdr:colOff>76200</xdr:colOff>
                <xdr:row>2</xdr:row>
                <xdr:rowOff>47625</xdr:rowOff>
              </from>
              <to>
                <xdr:col>7</xdr:col>
                <xdr:colOff>590550</xdr:colOff>
                <xdr:row>3</xdr:row>
                <xdr:rowOff>152400</xdr:rowOff>
              </to>
            </anchor>
          </controlPr>
        </control>
      </mc:Choice>
      <mc:Fallback>
        <control shapeId="3073" r:id="rId19" name="TextBox1"/>
      </mc:Fallback>
    </mc:AlternateContent>
    <mc:AlternateContent xmlns:mc="http://schemas.openxmlformats.org/markup-compatibility/2006">
      <mc:Choice Requires="x14">
        <control shapeId="3076" r:id="rId21" name="TextBox2">
          <controlPr defaultSize="0" autoLine="0" r:id="rId22">
            <anchor moveWithCells="1">
              <from>
                <xdr:col>3</xdr:col>
                <xdr:colOff>76200</xdr:colOff>
                <xdr:row>4</xdr:row>
                <xdr:rowOff>38100</xdr:rowOff>
              </from>
              <to>
                <xdr:col>7</xdr:col>
                <xdr:colOff>590550</xdr:colOff>
                <xdr:row>5</xdr:row>
                <xdr:rowOff>152400</xdr:rowOff>
              </to>
            </anchor>
          </controlPr>
        </control>
      </mc:Choice>
      <mc:Fallback>
        <control shapeId="3076" r:id="rId21" name="TextBox2"/>
      </mc:Fallback>
    </mc:AlternateContent>
    <mc:AlternateContent xmlns:mc="http://schemas.openxmlformats.org/markup-compatibility/2006">
      <mc:Choice Requires="x14">
        <control shapeId="3077" r:id="rId23" name="TextBox3">
          <controlPr defaultSize="0" autoLine="0" r:id="rId24">
            <anchor moveWithCells="1">
              <from>
                <xdr:col>3</xdr:col>
                <xdr:colOff>76200</xdr:colOff>
                <xdr:row>6</xdr:row>
                <xdr:rowOff>47625</xdr:rowOff>
              </from>
              <to>
                <xdr:col>5</xdr:col>
                <xdr:colOff>200025</xdr:colOff>
                <xdr:row>7</xdr:row>
                <xdr:rowOff>152400</xdr:rowOff>
              </to>
            </anchor>
          </controlPr>
        </control>
      </mc:Choice>
      <mc:Fallback>
        <control shapeId="3077" r:id="rId23" name="TextBox3"/>
      </mc:Fallback>
    </mc:AlternateContent>
    <mc:AlternateContent xmlns:mc="http://schemas.openxmlformats.org/markup-compatibility/2006">
      <mc:Choice Requires="x14">
        <control shapeId="3078" r:id="rId25" name="TextBox4">
          <controlPr defaultSize="0" autoLine="0" r:id="rId24">
            <anchor moveWithCells="1">
              <from>
                <xdr:col>3</xdr:col>
                <xdr:colOff>76200</xdr:colOff>
                <xdr:row>8</xdr:row>
                <xdr:rowOff>47625</xdr:rowOff>
              </from>
              <to>
                <xdr:col>5</xdr:col>
                <xdr:colOff>200025</xdr:colOff>
                <xdr:row>9</xdr:row>
                <xdr:rowOff>152400</xdr:rowOff>
              </to>
            </anchor>
          </controlPr>
        </control>
      </mc:Choice>
      <mc:Fallback>
        <control shapeId="3078" r:id="rId25" name="TextBox4"/>
      </mc:Fallback>
    </mc:AlternateContent>
    <mc:AlternateContent xmlns:mc="http://schemas.openxmlformats.org/markup-compatibility/2006">
      <mc:Choice Requires="x14">
        <control shapeId="3095" r:id="rId26" name="TextBox10">
          <controlPr defaultSize="0" autoLine="0" r:id="rId24">
            <anchor moveWithCells="1">
              <from>
                <xdr:col>5</xdr:col>
                <xdr:colOff>457200</xdr:colOff>
                <xdr:row>6</xdr:row>
                <xdr:rowOff>47625</xdr:rowOff>
              </from>
              <to>
                <xdr:col>7</xdr:col>
                <xdr:colOff>581025</xdr:colOff>
                <xdr:row>7</xdr:row>
                <xdr:rowOff>152400</xdr:rowOff>
              </to>
            </anchor>
          </controlPr>
        </control>
      </mc:Choice>
      <mc:Fallback>
        <control shapeId="3095" r:id="rId26" name="TextBox10"/>
      </mc:Fallback>
    </mc:AlternateContent>
    <mc:AlternateContent xmlns:mc="http://schemas.openxmlformats.org/markup-compatibility/2006">
      <mc:Choice Requires="x14">
        <control shapeId="3096" r:id="rId27" name="TextBox11">
          <controlPr defaultSize="0" autoLine="0" r:id="rId24">
            <anchor moveWithCells="1">
              <from>
                <xdr:col>5</xdr:col>
                <xdr:colOff>457200</xdr:colOff>
                <xdr:row>8</xdr:row>
                <xdr:rowOff>47625</xdr:rowOff>
              </from>
              <to>
                <xdr:col>7</xdr:col>
                <xdr:colOff>581025</xdr:colOff>
                <xdr:row>9</xdr:row>
                <xdr:rowOff>152400</xdr:rowOff>
              </to>
            </anchor>
          </controlPr>
        </control>
      </mc:Choice>
      <mc:Fallback>
        <control shapeId="3096" r:id="rId27" name="TextBox11"/>
      </mc:Fallback>
    </mc:AlternateContent>
    <mc:AlternateContent xmlns:mc="http://schemas.openxmlformats.org/markup-compatibility/2006">
      <mc:Choice Requires="x14">
        <control shapeId="3099" r:id="rId28" name="TextBox7">
          <controlPr defaultSize="0" autoLine="0" r:id="rId24">
            <anchor moveWithCells="1">
              <from>
                <xdr:col>3</xdr:col>
                <xdr:colOff>76200</xdr:colOff>
                <xdr:row>13</xdr:row>
                <xdr:rowOff>47625</xdr:rowOff>
              </from>
              <to>
                <xdr:col>5</xdr:col>
                <xdr:colOff>200025</xdr:colOff>
                <xdr:row>14</xdr:row>
                <xdr:rowOff>152400</xdr:rowOff>
              </to>
            </anchor>
          </controlPr>
        </control>
      </mc:Choice>
      <mc:Fallback>
        <control shapeId="3099" r:id="rId28" name="TextBox7"/>
      </mc:Fallback>
    </mc:AlternateContent>
    <mc:AlternateContent xmlns:mc="http://schemas.openxmlformats.org/markup-compatibility/2006">
      <mc:Choice Requires="x14">
        <control shapeId="3100" r:id="rId29" name="TextBox8">
          <controlPr defaultSize="0" autoLine="0" r:id="rId30">
            <anchor moveWithCells="1">
              <from>
                <xdr:col>5</xdr:col>
                <xdr:colOff>457200</xdr:colOff>
                <xdr:row>13</xdr:row>
                <xdr:rowOff>47625</xdr:rowOff>
              </from>
              <to>
                <xdr:col>7</xdr:col>
                <xdr:colOff>571500</xdr:colOff>
                <xdr:row>14</xdr:row>
                <xdr:rowOff>152400</xdr:rowOff>
              </to>
            </anchor>
          </controlPr>
        </control>
      </mc:Choice>
      <mc:Fallback>
        <control shapeId="3100" r:id="rId29" name="TextBox8"/>
      </mc:Fallback>
    </mc:AlternateContent>
    <mc:AlternateContent xmlns:mc="http://schemas.openxmlformats.org/markup-compatibility/2006">
      <mc:Choice Requires="x14">
        <control shapeId="3101" r:id="rId31" name="TextBox12">
          <controlPr defaultSize="0" autoLine="0" r:id="rId24">
            <anchor moveWithCells="1">
              <from>
                <xdr:col>3</xdr:col>
                <xdr:colOff>76200</xdr:colOff>
                <xdr:row>15</xdr:row>
                <xdr:rowOff>47625</xdr:rowOff>
              </from>
              <to>
                <xdr:col>5</xdr:col>
                <xdr:colOff>200025</xdr:colOff>
                <xdr:row>16</xdr:row>
                <xdr:rowOff>152400</xdr:rowOff>
              </to>
            </anchor>
          </controlPr>
        </control>
      </mc:Choice>
      <mc:Fallback>
        <control shapeId="3101" r:id="rId31" name="TextBox12"/>
      </mc:Fallback>
    </mc:AlternateContent>
    <mc:AlternateContent xmlns:mc="http://schemas.openxmlformats.org/markup-compatibility/2006">
      <mc:Choice Requires="x14">
        <control shapeId="3102" r:id="rId32" name="TextBox13">
          <controlPr defaultSize="0" autoLine="0" r:id="rId30">
            <anchor moveWithCells="1">
              <from>
                <xdr:col>5</xdr:col>
                <xdr:colOff>457200</xdr:colOff>
                <xdr:row>15</xdr:row>
                <xdr:rowOff>47625</xdr:rowOff>
              </from>
              <to>
                <xdr:col>7</xdr:col>
                <xdr:colOff>571500</xdr:colOff>
                <xdr:row>16</xdr:row>
                <xdr:rowOff>152400</xdr:rowOff>
              </to>
            </anchor>
          </controlPr>
        </control>
      </mc:Choice>
      <mc:Fallback>
        <control shapeId="3102" r:id="rId32" name="TextBox13"/>
      </mc:Fallback>
    </mc:AlternateContent>
    <mc:AlternateContent xmlns:mc="http://schemas.openxmlformats.org/markup-compatibility/2006">
      <mc:Choice Requires="x14">
        <control shapeId="3103" r:id="rId33" name="TextBox14">
          <controlPr defaultSize="0" autoLine="0" r:id="rId24">
            <anchor moveWithCells="1">
              <from>
                <xdr:col>3</xdr:col>
                <xdr:colOff>76200</xdr:colOff>
                <xdr:row>17</xdr:row>
                <xdr:rowOff>47625</xdr:rowOff>
              </from>
              <to>
                <xdr:col>5</xdr:col>
                <xdr:colOff>200025</xdr:colOff>
                <xdr:row>18</xdr:row>
                <xdr:rowOff>152400</xdr:rowOff>
              </to>
            </anchor>
          </controlPr>
        </control>
      </mc:Choice>
      <mc:Fallback>
        <control shapeId="3103" r:id="rId33" name="TextBox14"/>
      </mc:Fallback>
    </mc:AlternateContent>
    <mc:AlternateContent xmlns:mc="http://schemas.openxmlformats.org/markup-compatibility/2006">
      <mc:Choice Requires="x14">
        <control shapeId="3104" r:id="rId34" name="TextBox15">
          <controlPr defaultSize="0" autoLine="0" r:id="rId30">
            <anchor moveWithCells="1">
              <from>
                <xdr:col>5</xdr:col>
                <xdr:colOff>457200</xdr:colOff>
                <xdr:row>17</xdr:row>
                <xdr:rowOff>47625</xdr:rowOff>
              </from>
              <to>
                <xdr:col>7</xdr:col>
                <xdr:colOff>571500</xdr:colOff>
                <xdr:row>18</xdr:row>
                <xdr:rowOff>152400</xdr:rowOff>
              </to>
            </anchor>
          </controlPr>
        </control>
      </mc:Choice>
      <mc:Fallback>
        <control shapeId="3104" r:id="rId34" name="TextBox15"/>
      </mc:Fallback>
    </mc:AlternateContent>
    <mc:AlternateContent xmlns:mc="http://schemas.openxmlformats.org/markup-compatibility/2006">
      <mc:Choice Requires="x14">
        <control shapeId="3105" r:id="rId35" name="TextBox9">
          <controlPr defaultSize="0" autoLine="0" r:id="rId24">
            <anchor moveWithCells="1">
              <from>
                <xdr:col>3</xdr:col>
                <xdr:colOff>76200</xdr:colOff>
                <xdr:row>22</xdr:row>
                <xdr:rowOff>47625</xdr:rowOff>
              </from>
              <to>
                <xdr:col>5</xdr:col>
                <xdr:colOff>200025</xdr:colOff>
                <xdr:row>23</xdr:row>
                <xdr:rowOff>152400</xdr:rowOff>
              </to>
            </anchor>
          </controlPr>
        </control>
      </mc:Choice>
      <mc:Fallback>
        <control shapeId="3105" r:id="rId35" name="TextBox9"/>
      </mc:Fallback>
    </mc:AlternateContent>
    <mc:AlternateContent xmlns:mc="http://schemas.openxmlformats.org/markup-compatibility/2006">
      <mc:Choice Requires="x14">
        <control shapeId="3106" r:id="rId36" name="TextBox16">
          <controlPr defaultSize="0" autoLine="0" r:id="rId30">
            <anchor moveWithCells="1">
              <from>
                <xdr:col>5</xdr:col>
                <xdr:colOff>457200</xdr:colOff>
                <xdr:row>22</xdr:row>
                <xdr:rowOff>47625</xdr:rowOff>
              </from>
              <to>
                <xdr:col>7</xdr:col>
                <xdr:colOff>571500</xdr:colOff>
                <xdr:row>23</xdr:row>
                <xdr:rowOff>152400</xdr:rowOff>
              </to>
            </anchor>
          </controlPr>
        </control>
      </mc:Choice>
      <mc:Fallback>
        <control shapeId="3106" r:id="rId36" name="TextBox16"/>
      </mc:Fallback>
    </mc:AlternateContent>
    <mc:AlternateContent xmlns:mc="http://schemas.openxmlformats.org/markup-compatibility/2006">
      <mc:Choice Requires="x14">
        <control shapeId="3109" r:id="rId37" name="TextBox17">
          <controlPr defaultSize="0" autoLine="0" r:id="rId20">
            <anchor moveWithCells="1">
              <from>
                <xdr:col>3</xdr:col>
                <xdr:colOff>76200</xdr:colOff>
                <xdr:row>45</xdr:row>
                <xdr:rowOff>38100</xdr:rowOff>
              </from>
              <to>
                <xdr:col>7</xdr:col>
                <xdr:colOff>590550</xdr:colOff>
                <xdr:row>46</xdr:row>
                <xdr:rowOff>142875</xdr:rowOff>
              </to>
            </anchor>
          </controlPr>
        </control>
      </mc:Choice>
      <mc:Fallback>
        <control shapeId="3109" r:id="rId37" name="TextBox17"/>
      </mc:Fallback>
    </mc:AlternateContent>
    <mc:AlternateContent xmlns:mc="http://schemas.openxmlformats.org/markup-compatibility/2006">
      <mc:Choice Requires="x14">
        <control shapeId="3123" r:id="rId38" name="ClearButton">
          <controlPr defaultSize="0" autoLine="0" autoPict="0" r:id="rId39">
            <anchor moveWithCells="1">
              <from>
                <xdr:col>2</xdr:col>
                <xdr:colOff>276225</xdr:colOff>
                <xdr:row>50</xdr:row>
                <xdr:rowOff>38100</xdr:rowOff>
              </from>
              <to>
                <xdr:col>5</xdr:col>
                <xdr:colOff>342900</xdr:colOff>
                <xdr:row>51</xdr:row>
                <xdr:rowOff>152400</xdr:rowOff>
              </to>
            </anchor>
          </controlPr>
        </control>
      </mc:Choice>
      <mc:Fallback>
        <control shapeId="3123" r:id="rId38" name="ClearButton"/>
      </mc:Fallback>
    </mc:AlternateContent>
    <mc:AlternateContent xmlns:mc="http://schemas.openxmlformats.org/markup-compatibility/2006">
      <mc:Choice Requires="x14">
        <control shapeId="3155" r:id="rId40" name="clsave">
          <controlPr defaultSize="0" autoLine="0" altText="💾 SAVE" r:id="rId41">
            <anchor moveWithCells="1">
              <from>
                <xdr:col>9</xdr:col>
                <xdr:colOff>19050</xdr:colOff>
                <xdr:row>18</xdr:row>
                <xdr:rowOff>28575</xdr:rowOff>
              </from>
              <to>
                <xdr:col>9</xdr:col>
                <xdr:colOff>600075</xdr:colOff>
                <xdr:row>19</xdr:row>
                <xdr:rowOff>171450</xdr:rowOff>
              </to>
            </anchor>
          </controlPr>
        </control>
      </mc:Choice>
      <mc:Fallback>
        <control shapeId="3155" r:id="rId40" name="clsave"/>
      </mc:Fallback>
    </mc:AlternateContent>
    <mc:AlternateContent xmlns:mc="http://schemas.openxmlformats.org/markup-compatibility/2006">
      <mc:Choice Requires="x14">
        <control shapeId="3156" r:id="rId42" name="clload">
          <controlPr defaultSize="0" autoLine="0" r:id="rId43">
            <anchor moveWithCells="1">
              <from>
                <xdr:col>10</xdr:col>
                <xdr:colOff>9525</xdr:colOff>
                <xdr:row>18</xdr:row>
                <xdr:rowOff>28575</xdr:rowOff>
              </from>
              <to>
                <xdr:col>10</xdr:col>
                <xdr:colOff>600075</xdr:colOff>
                <xdr:row>19</xdr:row>
                <xdr:rowOff>180975</xdr:rowOff>
              </to>
            </anchor>
          </controlPr>
        </control>
      </mc:Choice>
      <mc:Fallback>
        <control shapeId="3156" r:id="rId42" name="clload"/>
      </mc:Fallback>
    </mc:AlternateContent>
    <mc:AlternateContent xmlns:mc="http://schemas.openxmlformats.org/markup-compatibility/2006">
      <mc:Choice Requires="x14">
        <control shapeId="3091" r:id="rId44" name="Option Button 19">
          <controlPr defaultSize="0" autoFill="0" autoLine="0" autoPict="0" macro="[0]!Sheet1.UPDATECL">
            <anchor moveWithCells="1">
              <from>
                <xdr:col>3</xdr:col>
                <xdr:colOff>38100</xdr:colOff>
                <xdr:row>31</xdr:row>
                <xdr:rowOff>38100</xdr:rowOff>
              </from>
              <to>
                <xdr:col>4</xdr:col>
                <xdr:colOff>571500</xdr:colOff>
                <xdr:row>32</xdr:row>
                <xdr:rowOff>152400</xdr:rowOff>
              </to>
            </anchor>
          </controlPr>
        </control>
      </mc:Choice>
    </mc:AlternateContent>
    <mc:AlternateContent xmlns:mc="http://schemas.openxmlformats.org/markup-compatibility/2006">
      <mc:Choice Requires="x14">
        <control shapeId="3093" r:id="rId45" name="Option Button 21">
          <controlPr defaultSize="0" autoFill="0" autoLine="0" autoPict="0" macro="[0]!Sheet1.UPDATECL">
            <anchor moveWithCells="1">
              <from>
                <xdr:col>6</xdr:col>
                <xdr:colOff>38100</xdr:colOff>
                <xdr:row>31</xdr:row>
                <xdr:rowOff>38100</xdr:rowOff>
              </from>
              <to>
                <xdr:col>7</xdr:col>
                <xdr:colOff>571500</xdr:colOff>
                <xdr:row>32</xdr:row>
                <xdr:rowOff>152400</xdr:rowOff>
              </to>
            </anchor>
          </controlPr>
        </control>
      </mc:Choice>
    </mc:AlternateContent>
    <mc:AlternateContent xmlns:mc="http://schemas.openxmlformats.org/markup-compatibility/2006">
      <mc:Choice Requires="x14">
        <control shapeId="3129" r:id="rId46" name="Group Box 57">
          <controlPr defaultSize="0" autoFill="0" autoPict="0">
            <anchor moveWithCells="1">
              <from>
                <xdr:col>3</xdr:col>
                <xdr:colOff>9525</xdr:colOff>
                <xdr:row>31</xdr:row>
                <xdr:rowOff>9525</xdr:rowOff>
              </from>
              <to>
                <xdr:col>8</xdr:col>
                <xdr:colOff>9525</xdr:colOff>
                <xdr:row>33</xdr:row>
                <xdr:rowOff>0</xdr:rowOff>
              </to>
            </anchor>
          </controlPr>
        </control>
      </mc:Choice>
    </mc:AlternateContent>
    <mc:AlternateContent xmlns:mc="http://schemas.openxmlformats.org/markup-compatibility/2006">
      <mc:Choice Requires="x14">
        <control shapeId="3132" r:id="rId47" name="Option Button 60">
          <controlPr defaultSize="0" autoFill="0" autoLine="0" autoPict="0" macro="[0]!Sheet1.UPDATECL">
            <anchor moveWithCells="1">
              <from>
                <xdr:col>3</xdr:col>
                <xdr:colOff>38100</xdr:colOff>
                <xdr:row>34</xdr:row>
                <xdr:rowOff>38100</xdr:rowOff>
              </from>
              <to>
                <xdr:col>4</xdr:col>
                <xdr:colOff>571500</xdr:colOff>
                <xdr:row>35</xdr:row>
                <xdr:rowOff>152400</xdr:rowOff>
              </to>
            </anchor>
          </controlPr>
        </control>
      </mc:Choice>
    </mc:AlternateContent>
    <mc:AlternateContent xmlns:mc="http://schemas.openxmlformats.org/markup-compatibility/2006">
      <mc:Choice Requires="x14">
        <control shapeId="3133" r:id="rId48" name="Option Button 61">
          <controlPr defaultSize="0" autoFill="0" autoLine="0" autoPict="0" macro="[0]!Sheet1.UPDATECL">
            <anchor moveWithCells="1">
              <from>
                <xdr:col>6</xdr:col>
                <xdr:colOff>38100</xdr:colOff>
                <xdr:row>34</xdr:row>
                <xdr:rowOff>38100</xdr:rowOff>
              </from>
              <to>
                <xdr:col>7</xdr:col>
                <xdr:colOff>571500</xdr:colOff>
                <xdr:row>35</xdr:row>
                <xdr:rowOff>152400</xdr:rowOff>
              </to>
            </anchor>
          </controlPr>
        </control>
      </mc:Choice>
    </mc:AlternateContent>
    <mc:AlternateContent xmlns:mc="http://schemas.openxmlformats.org/markup-compatibility/2006">
      <mc:Choice Requires="x14">
        <control shapeId="3134" r:id="rId49" name="Group Box 62">
          <controlPr defaultSize="0" autoFill="0" autoPict="0">
            <anchor moveWithCells="1">
              <from>
                <xdr:col>3</xdr:col>
                <xdr:colOff>9525</xdr:colOff>
                <xdr:row>37</xdr:row>
                <xdr:rowOff>9525</xdr:rowOff>
              </from>
              <to>
                <xdr:col>8</xdr:col>
                <xdr:colOff>9525</xdr:colOff>
                <xdr:row>39</xdr:row>
                <xdr:rowOff>0</xdr:rowOff>
              </to>
            </anchor>
          </controlPr>
        </control>
      </mc:Choice>
    </mc:AlternateContent>
    <mc:AlternateContent xmlns:mc="http://schemas.openxmlformats.org/markup-compatibility/2006">
      <mc:Choice Requires="x14">
        <control shapeId="3150" r:id="rId50" name="Option Button 78">
          <controlPr locked="0" defaultSize="0" autoFill="0" autoLine="0" autoPict="0">
            <anchor moveWithCells="1">
              <from>
                <xdr:col>9</xdr:col>
                <xdr:colOff>28575</xdr:colOff>
                <xdr:row>13</xdr:row>
                <xdr:rowOff>19050</xdr:rowOff>
              </from>
              <to>
                <xdr:col>10</xdr:col>
                <xdr:colOff>600075</xdr:colOff>
                <xdr:row>13</xdr:row>
                <xdr:rowOff>171450</xdr:rowOff>
              </to>
            </anchor>
          </controlPr>
        </control>
      </mc:Choice>
    </mc:AlternateContent>
    <mc:AlternateContent xmlns:mc="http://schemas.openxmlformats.org/markup-compatibility/2006">
      <mc:Choice Requires="x14">
        <control shapeId="3151" r:id="rId51" name="Option Button 79">
          <controlPr locked="0" defaultSize="0" autoFill="0" autoLine="0" autoPict="0">
            <anchor moveWithCells="1">
              <from>
                <xdr:col>9</xdr:col>
                <xdr:colOff>28575</xdr:colOff>
                <xdr:row>14</xdr:row>
                <xdr:rowOff>19050</xdr:rowOff>
              </from>
              <to>
                <xdr:col>10</xdr:col>
                <xdr:colOff>600075</xdr:colOff>
                <xdr:row>14</xdr:row>
                <xdr:rowOff>171450</xdr:rowOff>
              </to>
            </anchor>
          </controlPr>
        </control>
      </mc:Choice>
    </mc:AlternateContent>
    <mc:AlternateContent xmlns:mc="http://schemas.openxmlformats.org/markup-compatibility/2006">
      <mc:Choice Requires="x14">
        <control shapeId="3152" r:id="rId52" name="Option Button 80">
          <controlPr locked="0" defaultSize="0" autoFill="0" autoLine="0" autoPict="0">
            <anchor moveWithCells="1">
              <from>
                <xdr:col>9</xdr:col>
                <xdr:colOff>28575</xdr:colOff>
                <xdr:row>15</xdr:row>
                <xdr:rowOff>19050</xdr:rowOff>
              </from>
              <to>
                <xdr:col>10</xdr:col>
                <xdr:colOff>600075</xdr:colOff>
                <xdr:row>15</xdr:row>
                <xdr:rowOff>171450</xdr:rowOff>
              </to>
            </anchor>
          </controlPr>
        </control>
      </mc:Choice>
    </mc:AlternateContent>
    <mc:AlternateContent xmlns:mc="http://schemas.openxmlformats.org/markup-compatibility/2006">
      <mc:Choice Requires="x14">
        <control shapeId="3153" r:id="rId53" name="Option Button 81">
          <controlPr locked="0" defaultSize="0" autoFill="0" autoLine="0" autoPict="0">
            <anchor moveWithCells="1">
              <from>
                <xdr:col>9</xdr:col>
                <xdr:colOff>28575</xdr:colOff>
                <xdr:row>16</xdr:row>
                <xdr:rowOff>19050</xdr:rowOff>
              </from>
              <to>
                <xdr:col>10</xdr:col>
                <xdr:colOff>600075</xdr:colOff>
                <xdr:row>16</xdr:row>
                <xdr:rowOff>171450</xdr:rowOff>
              </to>
            </anchor>
          </controlPr>
        </control>
      </mc:Choice>
    </mc:AlternateContent>
    <mc:AlternateContent xmlns:mc="http://schemas.openxmlformats.org/markup-compatibility/2006">
      <mc:Choice Requires="x14">
        <control shapeId="3154" r:id="rId54" name="Option Button 82">
          <controlPr locked="0" defaultSize="0" autoFill="0" autoLine="0" autoPict="0">
            <anchor moveWithCells="1">
              <from>
                <xdr:col>9</xdr:col>
                <xdr:colOff>28575</xdr:colOff>
                <xdr:row>17</xdr:row>
                <xdr:rowOff>19050</xdr:rowOff>
              </from>
              <to>
                <xdr:col>10</xdr:col>
                <xdr:colOff>600075</xdr:colOff>
                <xdr:row>17</xdr:row>
                <xdr:rowOff>171450</xdr:rowOff>
              </to>
            </anchor>
          </controlPr>
        </control>
      </mc:Choice>
    </mc:AlternateContent>
    <mc:AlternateContent xmlns:mc="http://schemas.openxmlformats.org/markup-compatibility/2006">
      <mc:Choice Requires="x14">
        <control shapeId="3164" r:id="rId55" name="Group Box 92">
          <controlPr defaultSize="0" autoFill="0" autoPict="0">
            <anchor moveWithCells="1">
              <from>
                <xdr:col>9</xdr:col>
                <xdr:colOff>9525</xdr:colOff>
                <xdr:row>13</xdr:row>
                <xdr:rowOff>9525</xdr:rowOff>
              </from>
              <to>
                <xdr:col>10</xdr:col>
                <xdr:colOff>600075</xdr:colOff>
                <xdr:row>17</xdr:row>
                <xdr:rowOff>180975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C507-415F-4372-B5F3-34C1093D83B7}">
  <sheetPr codeName="Sheet1">
    <tabColor rgb="FFFF0000"/>
  </sheetPr>
  <dimension ref="A1:N57"/>
  <sheetViews>
    <sheetView topLeftCell="A19" zoomScale="85" zoomScaleNormal="85" workbookViewId="0">
      <selection activeCell="C35" sqref="C35"/>
    </sheetView>
  </sheetViews>
  <sheetFormatPr defaultRowHeight="15" x14ac:dyDescent="0.25"/>
  <cols>
    <col min="1" max="1" width="26.85546875" style="1" customWidth="1"/>
    <col min="2" max="2" width="21.42578125" style="1" customWidth="1"/>
    <col min="3" max="3" width="21.85546875" style="13" customWidth="1"/>
    <col min="4" max="5" width="1.85546875" style="1" customWidth="1"/>
    <col min="6" max="7" width="15.7109375" style="1" customWidth="1"/>
    <col min="8" max="8" width="16.7109375" style="1" customWidth="1"/>
    <col min="9" max="10" width="15.7109375" style="1" customWidth="1"/>
    <col min="11" max="11" width="8.85546875" style="1" customWidth="1"/>
    <col min="12" max="12" width="12.28515625" style="1" bestFit="1" customWidth="1"/>
    <col min="13" max="14" width="15.5703125" style="1" bestFit="1" customWidth="1"/>
    <col min="15" max="16384" width="9.140625" style="1"/>
  </cols>
  <sheetData>
    <row r="1" spans="1:14" ht="26.25" customHeight="1" x14ac:dyDescent="0.25">
      <c r="A1" s="240" t="s">
        <v>9</v>
      </c>
      <c r="B1" s="240"/>
      <c r="C1" s="29"/>
      <c r="D1" s="29"/>
    </row>
    <row r="2" spans="1:14" ht="15" customHeight="1" x14ac:dyDescent="0.25">
      <c r="A2" s="240"/>
      <c r="B2" s="240"/>
      <c r="C2" s="29"/>
      <c r="D2" s="29"/>
      <c r="G2" s="114" t="s">
        <v>121</v>
      </c>
      <c r="H2" s="114" t="s">
        <v>122</v>
      </c>
      <c r="I2" s="114" t="s">
        <v>123</v>
      </c>
      <c r="J2" s="114" t="s">
        <v>124</v>
      </c>
      <c r="K2" s="114" t="s">
        <v>125</v>
      </c>
      <c r="L2" s="114" t="s">
        <v>126</v>
      </c>
      <c r="M2" s="130" t="s">
        <v>129</v>
      </c>
      <c r="N2" s="114" t="s">
        <v>127</v>
      </c>
    </row>
    <row r="3" spans="1:14" ht="15" customHeight="1" x14ac:dyDescent="0.25">
      <c r="A3" s="5" t="s">
        <v>6</v>
      </c>
      <c r="B3" s="11"/>
      <c r="C3" s="10"/>
      <c r="D3" s="2"/>
      <c r="G3" s="126">
        <f ca="1">TODAY()</f>
        <v>43823</v>
      </c>
      <c r="H3" s="127" t="s">
        <v>128</v>
      </c>
      <c r="I3" s="127" t="s">
        <v>128</v>
      </c>
      <c r="J3" s="128">
        <f>IF(B16="","",B16)</f>
        <v>0</v>
      </c>
      <c r="K3" s="114" t="str">
        <f>B5&amp;IF(C5="",""," &amp; "&amp;C5)</f>
        <v/>
      </c>
      <c r="L3" s="114" t="str">
        <f>B7&amp;IF(C7="",""," &amp; "&amp;C7)</f>
        <v/>
      </c>
      <c r="M3" s="114"/>
      <c r="N3" s="114" t="str">
        <f>IF(B4="","",B4)</f>
        <v/>
      </c>
    </row>
    <row r="4" spans="1:14" ht="15.75" customHeight="1" x14ac:dyDescent="0.25">
      <c r="A4" s="5" t="s">
        <v>4</v>
      </c>
      <c r="B4" s="20"/>
      <c r="C4" s="42" t="b">
        <f>IF(ISBLANK(C5),FALSE,TRUE)</f>
        <v>0</v>
      </c>
      <c r="D4" s="2"/>
    </row>
    <row r="5" spans="1:14" x14ac:dyDescent="0.25">
      <c r="A5" s="5" t="s">
        <v>0</v>
      </c>
      <c r="B5" s="22"/>
      <c r="C5" s="22"/>
      <c r="D5" s="2"/>
    </row>
    <row r="6" spans="1:14" x14ac:dyDescent="0.25">
      <c r="A6" s="5" t="s">
        <v>1</v>
      </c>
      <c r="B6" s="21"/>
      <c r="C6" s="21"/>
      <c r="D6" s="2"/>
      <c r="G6" s="125"/>
      <c r="H6" s="55"/>
    </row>
    <row r="7" spans="1:14" ht="15" customHeight="1" x14ac:dyDescent="0.25">
      <c r="A7" s="16" t="s">
        <v>26</v>
      </c>
      <c r="B7" s="54"/>
      <c r="C7" s="54"/>
      <c r="D7" s="2"/>
    </row>
    <row r="8" spans="1:14" ht="15.75" customHeight="1" x14ac:dyDescent="0.25">
      <c r="A8" s="16" t="s">
        <v>26</v>
      </c>
      <c r="B8" s="17"/>
      <c r="C8" s="17"/>
      <c r="D8" s="2"/>
    </row>
    <row r="9" spans="1:14" ht="15" customHeight="1" x14ac:dyDescent="0.25">
      <c r="A9" s="5" t="s">
        <v>25</v>
      </c>
      <c r="B9" s="12"/>
      <c r="C9" s="12"/>
      <c r="D9" s="2"/>
    </row>
    <row r="10" spans="1:14" ht="15" customHeight="1" x14ac:dyDescent="0.25">
      <c r="A10" s="5" t="s">
        <v>2</v>
      </c>
      <c r="B10" s="12"/>
      <c r="C10" s="41"/>
      <c r="D10" s="2"/>
    </row>
    <row r="11" spans="1:14" ht="15" customHeight="1" x14ac:dyDescent="0.25">
      <c r="A11" s="5" t="s">
        <v>3</v>
      </c>
      <c r="B11" s="12"/>
      <c r="C11" s="41"/>
      <c r="D11" s="2"/>
    </row>
    <row r="12" spans="1:14" ht="15.75" customHeight="1" x14ac:dyDescent="0.25">
      <c r="A12" s="14" t="str">
        <f>IF(C4,"Total for Both Competitors:","Competitor Total:")</f>
        <v>Competitor Total:</v>
      </c>
      <c r="B12" s="15">
        <f>SUM(B6*B9,B10,B11,IF(C4,C9*C6+C10+C11,0))</f>
        <v>0</v>
      </c>
      <c r="C12" s="2"/>
      <c r="D12" s="2"/>
    </row>
    <row r="13" spans="1:14" x14ac:dyDescent="0.25">
      <c r="A13" s="16" t="s">
        <v>12</v>
      </c>
      <c r="B13" s="17" t="s">
        <v>8</v>
      </c>
      <c r="C13" s="17" t="s">
        <v>8</v>
      </c>
      <c r="D13" s="2"/>
    </row>
    <row r="14" spans="1:14" x14ac:dyDescent="0.25">
      <c r="A14" s="5" t="s">
        <v>13</v>
      </c>
      <c r="B14" s="12"/>
      <c r="C14" s="12"/>
      <c r="D14" s="2"/>
    </row>
    <row r="15" spans="1:14" x14ac:dyDescent="0.25">
      <c r="A15" s="5" t="s">
        <v>14</v>
      </c>
      <c r="B15" s="8">
        <f>(B14*B6)+IF(C4,C14*C6,0)</f>
        <v>0</v>
      </c>
      <c r="C15" s="9"/>
      <c r="D15" s="2"/>
      <c r="G15" s="72" t="s">
        <v>139</v>
      </c>
      <c r="H15" s="1" t="s">
        <v>140</v>
      </c>
    </row>
    <row r="16" spans="1:14" x14ac:dyDescent="0.25">
      <c r="A16" s="16" t="s">
        <v>5</v>
      </c>
      <c r="B16" s="149">
        <f>B15-(B12+IF(C4,C12,0))</f>
        <v>0</v>
      </c>
      <c r="C16" s="9"/>
      <c r="D16" s="2"/>
      <c r="G16" s="1">
        <f>IF(B16=0,0,DOLLAR(CEILING(B16,5)))</f>
        <v>0</v>
      </c>
      <c r="H16" s="72">
        <f>IF(B16=0,0,B16)</f>
        <v>0</v>
      </c>
    </row>
    <row r="17" spans="1:6" x14ac:dyDescent="0.25">
      <c r="A17" s="5" t="s">
        <v>34</v>
      </c>
      <c r="B17" s="38" t="b">
        <f>IF(CONTACTS!F32=1,TRUE,FALSE)</f>
        <v>0</v>
      </c>
      <c r="C17" s="7"/>
      <c r="D17" s="2"/>
    </row>
    <row r="18" spans="1:6" x14ac:dyDescent="0.25">
      <c r="A18" s="2"/>
      <c r="B18" s="6"/>
      <c r="C18" s="6"/>
      <c r="D18" s="2"/>
    </row>
    <row r="19" spans="1:6" x14ac:dyDescent="0.25">
      <c r="A19" s="31" t="str">
        <f>"Customer Name: "&amp;B3&amp;CHAR(10)&amp;
"Customer Email: "&amp;B4&amp;CHAR(10)&amp;
"Brand"&amp;IF(C4,"s: ",": ")&amp;B5&amp;IF(C4," and "&amp;C5,"")&amp;CHAR(10)&amp;
"Quantity: "&amp;B6&amp;IF(C6=0,""," and ")&amp;C6&amp;CHAR(10)&amp;
"Competitor URL: "&amp;B7&amp;IF(C7="",""," and "&amp;C7)&amp;CHAR(10)&amp;
"Eyeconic price: "&amp;DOLLAR(B15)&amp;CHAR(10)&amp;
IF(ISBLANK(C5),"[","[(a) ")&amp;DOLLAR(B14)&amp;"/box]"&amp;IF(ISBLANK(C5),"","-")&amp;IF(ISBLANK(C5),"", "[(b) "&amp;DOLLAR(C14)&amp;"/box]")&amp;CHAR(10)&amp;
"Competitor Price: "&amp;DOLLAR(B12)&amp;CHAR(10)&amp;
IF(ISBLANK(C5),"[","[(a) ")&amp;DOLLAR(B9)&amp;"/box"&amp;
IF(ISBLANK(B10),""," + "&amp;DOLLAR(B10)&amp;" ship")&amp;
IF(ISBLANK(B11),""," + "&amp;DOLLAR(B11)&amp;" process")&amp;
IF(ISBLANK(C5),"","]-")&amp;
IF(ISBLANK(C5),"", "[(b) "&amp;DOLLAR(C9)&amp;"/box")&amp;
IF(ISBLANK(C10),""," + "&amp;DOLLAR(C10)&amp;" ship")&amp;
IF(ISBLANK(C11),""," + "&amp;DOLLAR(C11)&amp;" process")&amp;"]"&amp;CHAR(10)&amp;
"Difference: "&amp;DOLLAR(B16)&amp;CHAR(10)&amp;
"Promo Code Amount: "&amp;DOLLAR(B20)&amp;CHAR(10)&amp;
"Vision Benefits: "&amp;B17</f>
        <v>Customer Name: 
Customer Email: 
Brand: 
Quantity: 
Competitor URL: 
Eyeconic price: $0.00
[$0.00/box]
Competitor Price: $0.00
[$0.00/box]
Difference: $0.00
Promo Code Amount: $0.00
Vision Benefits: FALSE</v>
      </c>
      <c r="B19" s="31" t="s">
        <v>10</v>
      </c>
      <c r="C19" s="2"/>
      <c r="D19" s="2"/>
    </row>
    <row r="20" spans="1:6" x14ac:dyDescent="0.25">
      <c r="A20" s="31" t="s">
        <v>7</v>
      </c>
      <c r="B20" s="148">
        <f>IF(CONTACTS!F35=1,'MAIN - CL'!H16,'MAIN - CL'!G16)</f>
        <v>0</v>
      </c>
      <c r="C20" s="3"/>
      <c r="D20" s="2"/>
    </row>
    <row r="21" spans="1:6" x14ac:dyDescent="0.25">
      <c r="A21" s="31" t="s">
        <v>11</v>
      </c>
      <c r="B21" s="44"/>
      <c r="C21" s="4"/>
      <c r="D21" s="2"/>
    </row>
    <row r="22" spans="1:6" x14ac:dyDescent="0.25">
      <c r="A22" s="1" t="str">
        <f>IF(CONTACTS!F35=1,'MAIN - CL'!B30,'MAIN - CL'!B29)</f>
        <v>Hello ,
Thanks for getting in touch.
We received your request to participate in our Price Match Program. We are happy to report that your submission does qualify for price matching. We will be matching the price of $0.00 per box for  and providing you with a promo code to apply to your order.
You have selected for us to price match with  for  boxes of , the total for your purchase with them would come to $0.00. Your order total through Eyeconic is $0.00, so the difference back to you is $0.00.
Your promo code in the amount of $0.00 is . Please keep in mind this promo code is not eligible to be combined with any other site offers.
If you have further questions regarding our Price Matching Policy, we're available Monday through Friday between 6:00 a.m. and 5:00 p.m., and Saturday and Sunday between 7:00 a.m. and 5:00 p.m., Pacific Time.
Thank you for using Eyeconic email services.
Eyeconic® Customer Service
855-EYECONIC (855-393-2664)
info@eyeconic.com
Attention: This message is intended only for the individual to whom it is addressed and may contain information that is confidential or privileged. If you are not the intended recipient, or the employee or person responsible for delivering it to the intended recipient, you are hereby notified that any dissemination, distribution, copying or use is strictly prohibited. If you have received this communication in error, please notify the sender immediately.</v>
      </c>
      <c r="B22" s="31" t="s">
        <v>10</v>
      </c>
      <c r="C22" s="2"/>
      <c r="D22" s="2"/>
      <c r="F22" s="49"/>
    </row>
    <row r="23" spans="1:6" ht="15" customHeight="1" x14ac:dyDescent="0.25">
      <c r="A23" s="2"/>
      <c r="B23" s="2"/>
      <c r="C23" s="2"/>
      <c r="D23" s="2"/>
    </row>
    <row r="24" spans="1:6" x14ac:dyDescent="0.25">
      <c r="A24" s="2"/>
      <c r="B24" s="2"/>
      <c r="C24" s="2"/>
      <c r="D24" s="2"/>
    </row>
    <row r="25" spans="1:6" x14ac:dyDescent="0.25">
      <c r="A25" s="2"/>
      <c r="B25" s="2"/>
      <c r="C25" s="2"/>
      <c r="D25" s="2"/>
    </row>
    <row r="26" spans="1:6" x14ac:dyDescent="0.25">
      <c r="A26" s="18" t="s">
        <v>15</v>
      </c>
      <c r="B26" s="19">
        <v>43706</v>
      </c>
      <c r="C26" s="2"/>
      <c r="D26" s="2"/>
    </row>
    <row r="27" spans="1:6" x14ac:dyDescent="0.25">
      <c r="A27" s="1" t="str">
        <f>_xlfn.CONCAT(B37&amp;CHAR(10)&amp;CHAR(10)&amp;
"Take advantage of our Price Match Program by replying with the following information:"&amp;CHAR(10)&amp;CHAR(10)&amp;
"• URL of the competitor website"&amp;CHAR(10)&amp;
"• Brand of contacts"&amp;CHAR(10)&amp;
"• Quantity of boxes you plan on ordering"&amp;CHAR(10)&amp;
"• Price per box on the competitor website"&amp;CHAR(10)&amp;
"• Please indicate if you will be applying vision benefits to the order"&amp;CHAR(10)&amp;CHAR(10)&amp;
"We’ll get back to you within three business days to let you know if your purchase qualifies for our Price Match Program."&amp;CHAR(10)&amp;CHAR(10)&amp;B42&amp;CHAR(10)&amp;CHAR(10)&amp;B43)</f>
        <v>Hello ,
Thanks for getting in touch.
Take advantage of our Price Match Program by replying with the following information:
• URL of the competitor website
• Brand of contacts
• Quantity of boxes you plan on ordering
• Price per box on the competitor website
• Please indicate if you will be applying vision benefits to the order
We’ll get back to you within three business days to let you know if your purchase qualifies for our Price Match Program.
If you have further questions regarding our Price Matching Policy, we're available Monday through Friday between 6:00 a.m. and 5:00 p.m., and Saturday and Sunday between 7:00 a.m. and 5:00 p.m., Pacific Time.
Thank you for using Eyeconic email services.
Eyeconic® Customer Service
855-EYECONIC (855-393-2664)
info@eyeconic.com
Attention: This message is intended only for the individual to whom it is addressed and may contain information that is confidential or privileged. If you are not the intended recipient, or the employee or person responsible for delivering it to the intended recipient, you are hereby notified that any dissemination, distribution, copying or use is strictly prohibited. If you have received this communication in error, please notify the sender immediately.</v>
      </c>
      <c r="B27" s="45" t="s">
        <v>36</v>
      </c>
    </row>
    <row r="28" spans="1:6" x14ac:dyDescent="0.25">
      <c r="A28" s="1" t="str">
        <f>_xlfn.CONCAT(B37&amp;CHAR(10)&amp;CHAR(10),H33,I33,J33&amp;CHAR(10)&amp;CHAR(10),B44)</f>
        <v>Hello ,
Thanks for getting in touch.
We received your request to participate in our Price Match Program. Unfortunately, your submission does not qualify according to our guidelines because that website is not one of the online authorized retailers outlined in our Price Match Program.
If you’ve found a lower price on your favorite frames with a qualified retailer, we’d be glad to match it. In fact, we price match tons of qualified online retailers, including the following:
1800contacts.com
Coastal.com
Costco.com (online prices only)
Discountcontactlenses.com
EZContacts.com
Framesdirect.com
Lens.com
PScontacts.com
SamsClub.com (online prices only)
Target.com/TargetOptical.com (online prices only)
Visionworks.com
Walgreens.com (online prices only)
Walmart.com (online prices only)
WarbyParker.com
WebEyeCare.com
In some circumstances, we are legally unable to price match. To see our full list of exclusions and program information, visit our site FAQ page.
We apologize for any inconvenience this may cause you.
Let us know if there's anything else we can do to assist you. We’re available Monday through Friday between 6:00 a.m. and 5:00 p.m., and Saturday and Sunday between 7:00 a.m. and 5:00 p.m., Pacific Time.
Thank you for using Eyeconic email services.
Eyeconic® Customer Service
855-EYECONIC (855-393-2664)
info@eyeconic.com</v>
      </c>
      <c r="B28" s="45" t="s">
        <v>61</v>
      </c>
      <c r="C28" s="31"/>
      <c r="D28" s="30"/>
    </row>
    <row r="29" spans="1:6" x14ac:dyDescent="0.25">
      <c r="A29" s="1" t="s">
        <v>41</v>
      </c>
      <c r="B29" s="31" t="str">
        <f>_xlfn.CONCAT(B37&amp;CHAR(10)&amp;CHAR(10),B38&amp;CHAR(10)&amp;CHAR(10),B40&amp;CHAR(10)&amp;CHAR(10),IF(SUM(B10:C11)=0,"",B39&amp;CHAR(10)&amp;CHAR(10)),B41&amp;CHAR(10)&amp;CHAR(10),B42&amp;CHAR(10)&amp;CHAR(10),B43)</f>
        <v>Hello ,
Thanks for getting in touch.
We received your request to participate in our Price Match Program. We are happy to report that your submission does qualify for price matching. We will be matching the price of $0.00 per box for  and providing you with a promo code to apply to your order.
You have selected for us to price match with  for  boxes of , the total for your purchase with them would come to $0.00. Your order total through Eyeconic is $0.00, so the difference back to you is $0.00.
Your promo code in the amount of $0.00 is . Please keep in mind this promo code is not eligible to be combined with any other site offers.
If you have further questions regarding our Price Matching Policy, we're available Monday through Friday between 6:00 a.m. and 5:00 p.m., and Saturday and Sunday between 7:00 a.m. and 5:00 p.m., Pacific Time.
Thank you for using Eyeconic email services.
Eyeconic® Customer Service
855-EYECONIC (855-393-2664)
info@eyeconic.com
Attention: This message is intended only for the individual to whom it is addressed and may contain information that is confidential or privileged. If you are not the intended recipient, or the employee or person responsible for delivering it to the intended recipient, you are hereby notified that any dissemination, distribution, copying or use is strictly prohibited. If you have received this communication in error, please notify the sender immediately.</v>
      </c>
      <c r="C29" s="31" t="s">
        <v>22</v>
      </c>
      <c r="D29" s="30"/>
    </row>
    <row r="30" spans="1:6" x14ac:dyDescent="0.25">
      <c r="A30" s="30" t="s">
        <v>38</v>
      </c>
      <c r="B30" s="32" t="str">
        <f>_xlfn.CONCAT(B37&amp;CHAR(10)&amp;CHAR(10),C38&amp;CHAR(10)&amp;CHAR(10),B40&amp;CHAR(10)&amp;CHAR(10),IF(SUM(B10:C11)=0,"",B39&amp;CHAR(10)&amp;CHAR(10)),B42&amp;CHAR(10)&amp;CHAR(10),B43)</f>
        <v>Hello ,
Thanks for getting in touch.
We received your request to participate in our Price Match Program. We are happy to report that your submission does qualify for price matching. We will be matching the price of $0.00 per box for  and refunding the difference to you once your order has shipped.
You have selected for us to price match with  for  boxes of , the total for your purchase with them would come to $0.00. Your order total through Eyeconic is $0.00, so the difference back to you is $0.00.
If you have further questions regarding our Price Matching Policy, we're available Monday through Friday between 6:00 a.m. and 5:00 p.m., and Saturday and Sunday between 7:00 a.m. and 5:00 p.m., Pacific Time.
Thank you for using Eyeconic email services.
Eyeconic® Customer Service
855-EYECONIC (855-393-2664)
info@eyeconic.com
Attention: This message is intended only for the individual to whom it is addressed and may contain information that is confidential or privileged. If you are not the intended recipient, or the employee or person responsible for delivering it to the intended recipient, you are hereby notified that any dissemination, distribution, copying or use is strictly prohibited. If you have received this communication in error, please notify the sender immediately.</v>
      </c>
      <c r="C30" s="31" t="s">
        <v>22</v>
      </c>
      <c r="D30" s="30"/>
    </row>
    <row r="31" spans="1:6" x14ac:dyDescent="0.25">
      <c r="A31" s="30"/>
      <c r="B31" s="30"/>
      <c r="C31" s="31"/>
      <c r="D31" s="30"/>
    </row>
    <row r="32" spans="1:6" x14ac:dyDescent="0.25">
      <c r="A32" s="30"/>
      <c r="B32" s="30"/>
      <c r="C32" s="31"/>
      <c r="D32" s="30"/>
    </row>
    <row r="33" spans="1:11" x14ac:dyDescent="0.25">
      <c r="A33" s="33"/>
      <c r="B33" s="33"/>
      <c r="C33" s="33"/>
      <c r="D33" s="33"/>
      <c r="E33" s="23"/>
      <c r="H33" s="113" t="str">
        <f>"We received your request to participate in our Price Match Program."&amp;" Unfortunately, your submission does not qualify according to our guidelines because that website is not one of the online authorized retailers outlined in our Price Match Program."&amp;CHAR(10)&amp;CHAR(10)</f>
        <v xml:space="preserve">We received your request to participate in our Price Match Program. Unfortunately, your submission does not qualify according to our guidelines because that website is not one of the online authorized retailers outlined in our Price Match Program.
</v>
      </c>
      <c r="I33" s="113" t="str">
        <f>"If you’ve found a lower price on your favorite frames with a qualified retailer, we’d be glad to match it. In fact, we price match tons of qualified online retailers, including the following:"&amp;CHAR(10)&amp;CHAR(10)&amp;
"1800contacts.com"&amp;CHAR(10)&amp;
"Coastal.com"&amp;CHAR(10)&amp;
"Costco.com (online prices only)"&amp;CHAR(10)&amp;
"Discountcontactlenses.com"&amp;CHAR(10)&amp;
"EZContacts.com"&amp;CHAR(10)&amp;
"Framesdirect.com"&amp;CHAR(10)&amp;
"Lens.com"&amp;CHAR(10)&amp;
"PScontacts.com"&amp;CHAR(10)&amp;
"SamsClub.com (online prices only)"&amp;CHAR(10)&amp;
"Target.com/TargetOptical.com (online prices only)"&amp;CHAR(10)&amp;
"Visionworks.com"&amp;CHAR(10)&amp;
"Walgreens.com (online prices only)"&amp;CHAR(10)&amp;
"Walmart.com (online prices only)"&amp;CHAR(10)&amp;
"WarbyParker.com"&amp;CHAR(10)&amp;
"WebEyeCare.com"&amp;CHAR(10)&amp;CHAR(10)</f>
        <v xml:space="preserve">If you’ve found a lower price on your favorite frames with a qualified retailer, we’d be glad to match it. In fact, we price match tons of qualified online retailers, including the following:
1800contacts.com
Coastal.com
Costco.com (online prices only)
Discountcontactlenses.com
EZContacts.com
Framesdirect.com
Lens.com
PScontacts.com
SamsClub.com (online prices only)
Target.com/TargetOptical.com (online prices only)
Visionworks.com
Walgreens.com (online prices only)
Walmart.com (online prices only)
WarbyParker.com
WebEyeCare.com
</v>
      </c>
      <c r="J33" s="114" t="str">
        <f>"In some circumstances, we are legally unable to price match. To see our full list of exclusions and program information, visit our site FAQ page."&amp;CHAR(10)&amp;CHAR(10)&amp;
"We apologize for any inconvenience this may cause you."&amp;CHAR(10)&amp;CHAR(10)&amp;
"Let us know if there's anything else we can do to assist you. We’re available Monday through Friday between 6:00 a.m. and 5:00 p.m., and Saturday and Sunday between 7:00 a.m. and 5:00 p.m., Pacific Time."</f>
        <v>In some circumstances, we are legally unable to price match. To see our full list of exclusions and program information, visit our site FAQ page.
We apologize for any inconvenience this may cause you.
Let us know if there's anything else we can do to assist you. We’re available Monday through Friday between 6:00 a.m. and 5:00 p.m., and Saturday and Sunday between 7:00 a.m. and 5:00 p.m., Pacific Time.</v>
      </c>
      <c r="K33" s="1" t="s">
        <v>22</v>
      </c>
    </row>
    <row r="34" spans="1:11" x14ac:dyDescent="0.25">
      <c r="A34" s="34"/>
      <c r="B34" s="35"/>
      <c r="C34" s="31"/>
      <c r="D34" s="36"/>
      <c r="E34" s="24"/>
    </row>
    <row r="35" spans="1:11" x14ac:dyDescent="0.25">
      <c r="A35" s="37"/>
      <c r="B35" s="35"/>
      <c r="C35" s="31"/>
      <c r="D35" s="30"/>
    </row>
    <row r="36" spans="1:11" x14ac:dyDescent="0.25">
      <c r="A36" s="25"/>
      <c r="B36" s="26" t="s">
        <v>39</v>
      </c>
      <c r="C36" s="26" t="s">
        <v>40</v>
      </c>
    </row>
    <row r="37" spans="1:11" ht="15" customHeight="1" x14ac:dyDescent="0.25">
      <c r="A37" s="27" t="s">
        <v>17</v>
      </c>
      <c r="B37" s="46" t="str">
        <f>"Hello "&amp;IF(COUNTIF(B3,"* *"),(LEFT(B3,FIND(" ",B3)-1)),B3)&amp;","&amp;CHAR(10)&amp;CHAR(10)&amp;"Thanks for getting in touch."</f>
        <v>Hello ,
Thanks for getting in touch.</v>
      </c>
      <c r="C37" s="47" t="s">
        <v>22</v>
      </c>
      <c r="D37" s="1" t="s">
        <v>22</v>
      </c>
    </row>
    <row r="38" spans="1:11" ht="15" customHeight="1" x14ac:dyDescent="0.25">
      <c r="A38" s="27" t="s">
        <v>18</v>
      </c>
      <c r="B38" s="46" t="str">
        <f>"We received your request to participate in our Price Match Program. We are happy to report that your submission does qualify for price matching. We will be matching the price of "&amp;DOLLAR(B9,2)&amp;" per box for "&amp;B5&amp;IF(C4," and "&amp;DOLLAR(C9)&amp;" per box for "&amp;C5,"")&amp;" and providing you with a promo code to apply to your order."</f>
        <v>We received your request to participate in our Price Match Program. We are happy to report that your submission does qualify for price matching. We will be matching the price of $0.00 per box for  and providing you with a promo code to apply to your order.</v>
      </c>
      <c r="C38" s="46" t="str">
        <f>"We received your request to participate in our Price Match Program. We are happy to report that your submission does qualify for price matching. We will be matching the price of "&amp;DOLLAR(B9,2)&amp;" per box for "&amp;B5&amp;IF(C4," and "&amp;DOLLAR(C9)&amp;" per box for "&amp;C5,"")&amp;" and refunding the difference to you once your order has shipped."</f>
        <v>We received your request to participate in our Price Match Program. We are happy to report that your submission does qualify for price matching. We will be matching the price of $0.00 per box for  and refunding the difference to you once your order has shipped.</v>
      </c>
      <c r="D38" s="1" t="s">
        <v>22</v>
      </c>
    </row>
    <row r="39" spans="1:11" ht="15" customHeight="1" x14ac:dyDescent="0.25">
      <c r="A39" s="27" t="s">
        <v>19</v>
      </c>
      <c r="B39" s="46" t="str">
        <f>"Please keep in mind that "
&amp;IF(SUM(B10:B11)=0,"",B7&amp;" charges "
&amp;IF(B11="","",DOLLAR(B11,2)&amp;" for processing fees")
&amp;IF(COUNTBLANK(B10:B11),""," and ")
&amp;IF(B10="","",DOLLAR(B10,2)&amp;" for shipping fees")
&amp;IF(SUM(C10:C11)=0,""," and "))
&amp;IF(SUM(C10:C11)=0,"",C7&amp;" charges "
&amp;IF(C11="","",DOLLAR(C11)&amp;" for processing fees")
&amp;IF(COUNTBLANK(C10:C11),""," and ")
&amp;IF(C10="","",DOLLAR(C10)&amp;" for shipping fees"))
&amp;" that are not applied when you purchase on Eyeconic. We include these charges when calculating your final price match."</f>
        <v>Please keep in mind that  that are not applied when you purchase on Eyeconic. We include these charges when calculating your final price match.</v>
      </c>
      <c r="C39" s="47" t="s">
        <v>22</v>
      </c>
      <c r="D39" s="1" t="s">
        <v>22</v>
      </c>
    </row>
    <row r="40" spans="1:11" ht="15" customHeight="1" x14ac:dyDescent="0.25">
      <c r="A40" s="27" t="s">
        <v>20</v>
      </c>
      <c r="B40" s="48" t="str">
        <f>IF(C7="","You have selected for us to price match with "&amp;B7&amp;" for "&amp;B6&amp;" boxes of "&amp;B5&amp;IF(C4," and "&amp;C6&amp;" boxes of "&amp;C5,"")&amp;", the total for your purchase with them would come to "&amp;DOLLAR(B12)&amp;IF(SUM(B10:C11)=0,""," after fees")&amp;". Your order total through Eyeconic is "&amp;DOLLAR(B15)&amp;", so the difference back to you is "&amp;DOLLAR(B16)&amp;".","The total at "&amp;B7&amp;" for "&amp;B6&amp;IF(B6=1," box of "," boxes of ")&amp;B5&amp;" is "&amp;DOLLAR((B9*B6)+B10+B11)&amp;" and the total at "&amp;C7&amp;" for "&amp;C6&amp;IF(C6=1," box of "," boxes of ")&amp;C5&amp;" is "&amp;DOLLAR((C9*C6)+C10+C11)&amp;". The total we will be matching is "&amp;DOLLAR(B12)&amp;". Your order total through Eyeconic is "&amp;DOLLAR(B15)&amp;", so the difference back to you is "&amp;DOLLAR(B16)&amp;".")</f>
        <v>You have selected for us to price match with  for  boxes of , the total for your purchase with them would come to $0.00. Your order total through Eyeconic is $0.00, so the difference back to you is $0.00.</v>
      </c>
      <c r="C40" s="47" t="s">
        <v>22</v>
      </c>
      <c r="D40" s="39" t="s">
        <v>22</v>
      </c>
    </row>
    <row r="41" spans="1:11" ht="15" customHeight="1" x14ac:dyDescent="0.25">
      <c r="A41" s="27" t="s">
        <v>21</v>
      </c>
      <c r="B41" s="48" t="str">
        <f>"Your promo code in the amount of "&amp;DOLLAR(B20,2)&amp;" is "&amp;B21&amp;". Please keep in mind this promo code is not eligible to be combined with any other site offers."</f>
        <v>Your promo code in the amount of $0.00 is . Please keep in mind this promo code is not eligible to be combined with any other site offers.</v>
      </c>
      <c r="C41" s="47" t="s">
        <v>22</v>
      </c>
      <c r="D41" s="39" t="s">
        <v>22</v>
      </c>
    </row>
    <row r="42" spans="1:11" ht="15" customHeight="1" x14ac:dyDescent="0.25">
      <c r="A42" s="27" t="s">
        <v>16</v>
      </c>
      <c r="B42" s="48" t="str">
        <f>"If you have further questions regarding our Price Matching Policy, we're available Monday through Friday between 6:00 a.m. and 5:00 p.m., and Saturday and Sunday between 7:00 a.m. and 5:00 p.m., Pacific Time."&amp;CHAR(10)&amp;CHAR(10)&amp;
"Thank you for using Eyeconic email services."&amp;CHAR(10)&amp;CHAR(10)&amp;CHAR(10)&amp;"Eyeconic® Customer Service"&amp;CHAR(10)&amp;"855-EYECONIC (855-393-2664)"&amp;CHAR(10)&amp;"info@eyeconic.com"</f>
        <v>If you have further questions regarding our Price Matching Policy, we're available Monday through Friday between 6:00 a.m. and 5:00 p.m., and Saturday and Sunday between 7:00 a.m. and 5:00 p.m., Pacific Time.
Thank you for using Eyeconic email services.
Eyeconic® Customer Service
855-EYECONIC (855-393-2664)
info@eyeconic.com</v>
      </c>
      <c r="C42" s="47" t="s">
        <v>22</v>
      </c>
      <c r="D42" s="39" t="s">
        <v>22</v>
      </c>
    </row>
    <row r="43" spans="1:11" ht="15" customHeight="1" x14ac:dyDescent="0.25">
      <c r="A43" s="27" t="s">
        <v>24</v>
      </c>
      <c r="B43" t="s">
        <v>157</v>
      </c>
      <c r="C43" s="47" t="s">
        <v>22</v>
      </c>
      <c r="D43" s="28" t="s">
        <v>22</v>
      </c>
    </row>
    <row r="44" spans="1:11" x14ac:dyDescent="0.25">
      <c r="A44" s="27" t="s">
        <v>117</v>
      </c>
      <c r="B44" s="1" t="str">
        <f>"Thank you for using Eyeconic email services."&amp;CHAR(10)&amp;CHAR(10)&amp;CHAR(10)&amp;
"Eyeconic® Customer Service"&amp;CHAR(10)&amp;
"855-EYECONIC (855-393-2664)"&amp;CHAR(10)&amp;
"info@eyeconic.com"</f>
        <v>Thank you for using Eyeconic email services.
Eyeconic® Customer Service
855-EYECONIC (855-393-2664)
info@eyeconic.com</v>
      </c>
    </row>
    <row r="46" spans="1:11" x14ac:dyDescent="0.25">
      <c r="A46" s="1" t="s">
        <v>150</v>
      </c>
    </row>
    <row r="47" spans="1:11" x14ac:dyDescent="0.25">
      <c r="A47" s="1" t="s">
        <v>151</v>
      </c>
    </row>
    <row r="57" spans="2:2" x14ac:dyDescent="0.25">
      <c r="B57" s="1" t="s">
        <v>134</v>
      </c>
    </row>
  </sheetData>
  <sheetProtection formatCells="0" formatColumns="0"/>
  <mergeCells count="1">
    <mergeCell ref="A1:B2"/>
  </mergeCells>
  <dataValidations xWindow="897" yWindow="272" count="24">
    <dataValidation allowBlank="1" showInputMessage="1" showErrorMessage="1" prompt="Product Name" sqref="A5" xr:uid="{AA03D8B4-6E6E-4D48-A981-8D2608000C7F}"/>
    <dataValidation allowBlank="1" showInputMessage="1" showErrorMessage="1" prompt="How many boxes (of each brand)" sqref="A6" xr:uid="{4F7E9CB7-749B-4DE2-BF9F-A3B108FC3E56}"/>
    <dataValidation allowBlank="1" showInputMessage="1" showErrorMessage="1" prompt="Competitor Name" sqref="A7:B7 A8" xr:uid="{913AC84A-18BE-4FFA-B40F-33E29056923D}"/>
    <dataValidation allowBlank="1" showInputMessage="1" showErrorMessage="1" prompt="Competitor Price Per Box" sqref="A9:C9" xr:uid="{FFC4389A-52F3-4578-A75C-7EEF1B590735}"/>
    <dataValidation allowBlank="1" showInputMessage="1" showErrorMessage="1" prompt="Shipping Cost" sqref="A10" xr:uid="{A53F24E2-E66E-4021-9E8A-2F032594318F}"/>
    <dataValidation allowBlank="1" showInputMessage="1" showErrorMessage="1" prompt="Processing Cost" sqref="A11" xr:uid="{992361B1-93B1-4EE5-8844-2065CA6AEA0F}"/>
    <dataValidation allowBlank="1" showInputMessage="1" showErrorMessage="1" prompt="Price Match Difference" sqref="A16:B16" xr:uid="{B0D793B6-4CDF-4727-9C83-BFE5DB4308CE}"/>
    <dataValidation allowBlank="1" showInputMessage="1" showErrorMessage="1" prompt="Is customer applying insurance?" sqref="A17:B17" xr:uid="{705ADB52-5A26-421D-9F10-8BE0C7184D39}"/>
    <dataValidation allowBlank="1" showInputMessage="1" showErrorMessage="1" promptTitle="Promo Code Request" prompt="Email to USCEyeconic@vsp.com or Jabber ESQ rep" sqref="B19" xr:uid="{07B27A2B-998F-430E-88AF-BCA88E9CE8E8}"/>
    <dataValidation allowBlank="1" showInputMessage="1" showErrorMessage="1" prompt="Enter how much the promo code is discounting" sqref="A20" xr:uid="{EC0B860F-9BAF-4AE0-A7C7-C0F15232CD32}"/>
    <dataValidation allowBlank="1" showInputMessage="1" showErrorMessage="1" prompt="Paste the promo code" sqref="A21" xr:uid="{85CA1163-F6AA-4D12-A3D2-99D67FCD30BF}"/>
    <dataValidation allowBlank="1" showInputMessage="1" showErrorMessage="1" prompt="Second Competitor Name (If no second competitor, leave blank)" sqref="C7" xr:uid="{C5CBF168-64F4-4211-B555-F408636AD515}"/>
    <dataValidation allowBlank="1" showInputMessage="1" showErrorMessage="1" promptTitle="Questions/Comments?" prompt="Vermont Pena - vermont.pena@vsp.com_x000a_Nathan Arcuri - nathan.arcuri@vsp.com" sqref="A26:B26" xr:uid="{8E7ECA2A-4E12-4DCA-9AF3-C87225946D8E}"/>
    <dataValidation allowBlank="1" showInputMessage="1" showErrorMessage="1" promptTitle="EYECONIC" prompt="Price Per Box **Remember to check for Annual Supply Discount if applicable**" sqref="A14:C14" xr:uid="{1761C194-0CEE-486C-8B42-62208F46D2D5}"/>
    <dataValidation allowBlank="1" showInputMessage="1" showErrorMessage="1" promptTitle="EYECONIC" prompt="Order Total through Eyeconic" sqref="A15:B15" xr:uid="{B8338BDA-091C-4CC3-86CF-64A594590FD1}"/>
    <dataValidation type="whole" allowBlank="1" showInputMessage="1" showErrorMessage="1" errorTitle="NOPE" error="Quantity means how many. Need a number here." prompt="How many boxes (of each brand)" sqref="B6:C6" xr:uid="{156BD362-E2A1-4CA2-B907-CB56F76A2A64}">
      <formula1>0</formula1>
      <formula2>10000</formula2>
    </dataValidation>
    <dataValidation type="custom" showInputMessage="1" showErrorMessage="1" prompt="Processing Cost" sqref="C11" xr:uid="{AFD931AB-BCFB-41C2-A5AF-46572C6915B6}">
      <formula1>IF(C7="",FALSE,TRUE)</formula1>
    </dataValidation>
    <dataValidation type="custom" showInputMessage="1" showErrorMessage="1" prompt="Shipping Cost" sqref="C10" xr:uid="{7DCA0975-FB2B-4363-BDEA-671D9C8C33D5}">
      <formula1>IF(C7="",FALSE,TRUE)</formula1>
    </dataValidation>
    <dataValidation type="custom" allowBlank="1" showInputMessage="1" showErrorMessage="1" errorTitle="LEAVE BLANK" error="If there is no fee, leave it blank." promptTitle="Shipping Cost" prompt="If $0.00, leave blank." sqref="B10" xr:uid="{B0AA9FF2-2F4D-48A3-A343-B59B7CA23CB9}">
      <formula1>IF(B10=0,FALSE,TRUE)</formula1>
    </dataValidation>
    <dataValidation type="custom" allowBlank="1" showInputMessage="1" showErrorMessage="1" errorTitle="LEAVE BLANK" error="If there is no fee, leave it blank." promptTitle="Processing Cost" prompt="If $0.00, leave blank." sqref="B11" xr:uid="{910F5F92-86B5-4268-A92A-B73BABEF395E}">
      <formula1>IF(B11=0,FALSE,TRUE)</formula1>
    </dataValidation>
    <dataValidation allowBlank="1" showInputMessage="1" showErrorMessage="1" prompt="If more than $150, request approval from ESQ._x000a_(If under 20, it will round up to nearest 5. If over 20, the nearest 10.)" sqref="B20" xr:uid="{9BD92A5F-A9F9-4B8D-B051-8726B8C4732A}"/>
    <dataValidation allowBlank="1" showInputMessage="1" showErrorMessage="1" promptTitle="Promo Code Approval Request" prompt="If over $150.00, approval is needed. Email to USCEyeconic@vsp.com or Jabber ESQ Rep" sqref="A19" xr:uid="{43EB8BDE-464B-4374-815D-F7B812449320}"/>
    <dataValidation allowBlank="1" showInputMessage="1" showErrorMessage="1" promptTitle="DENIED" prompt="Enter the reason below as if continuing this sentence:_x000a_We cannot price match because..." sqref="D33" xr:uid="{12469C5C-C4B5-42A4-90A9-5657101C2940}"/>
    <dataValidation allowBlank="1" showInputMessage="1" showErrorMessage="1" promptTitle="Automatic Price Match Email" prompt="Email this information to the customer._x000a_DO NOT FORGET to select &quot;info@eyeconic.com&quot; in salesforce as the sender." sqref="B22 B29" xr:uid="{D23254AB-28F3-43CE-93DB-8756252BBF79}"/>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4" r:id="rId4" name="TestBox1">
          <controlPr autoLine="0" r:id="rId5">
            <anchor moveWithCells="1">
              <from>
                <xdr:col>6</xdr:col>
                <xdr:colOff>171450</xdr:colOff>
                <xdr:row>55</xdr:row>
                <xdr:rowOff>66675</xdr:rowOff>
              </from>
              <to>
                <xdr:col>8</xdr:col>
                <xdr:colOff>914400</xdr:colOff>
                <xdr:row>56</xdr:row>
                <xdr:rowOff>95250</xdr:rowOff>
              </to>
            </anchor>
          </controlPr>
        </control>
      </mc:Choice>
      <mc:Fallback>
        <control shapeId="1034" r:id="rId4" name="TestBox1"/>
      </mc:Fallback>
    </mc:AlternateContent>
    <mc:AlternateContent xmlns:mc="http://schemas.openxmlformats.org/markup-compatibility/2006">
      <mc:Choice Requires="x14">
        <control shapeId="1033" r:id="rId6" name="TextBox25">
          <controlPr autoLine="0" r:id="rId7">
            <anchor moveWithCells="1">
              <from>
                <xdr:col>2</xdr:col>
                <xdr:colOff>171450</xdr:colOff>
                <xdr:row>27</xdr:row>
                <xdr:rowOff>66675</xdr:rowOff>
              </from>
              <to>
                <xdr:col>6</xdr:col>
                <xdr:colOff>323850</xdr:colOff>
                <xdr:row>28</xdr:row>
                <xdr:rowOff>95250</xdr:rowOff>
              </to>
            </anchor>
          </controlPr>
        </control>
      </mc:Choice>
      <mc:Fallback>
        <control shapeId="1033" r:id="rId6" name="TextBox25"/>
      </mc:Fallback>
    </mc:AlternateContent>
    <mc:AlternateContent xmlns:mc="http://schemas.openxmlformats.org/markup-compatibility/2006">
      <mc:Choice Requires="x14">
        <control shapeId="1032" r:id="rId8" name="TextBox23">
          <controlPr autoLine="0" r:id="rId9">
            <anchor moveWithCells="1">
              <from>
                <xdr:col>2</xdr:col>
                <xdr:colOff>171450</xdr:colOff>
                <xdr:row>26</xdr:row>
                <xdr:rowOff>0</xdr:rowOff>
              </from>
              <to>
                <xdr:col>6</xdr:col>
                <xdr:colOff>323850</xdr:colOff>
                <xdr:row>27</xdr:row>
                <xdr:rowOff>28575</xdr:rowOff>
              </to>
            </anchor>
          </controlPr>
        </control>
      </mc:Choice>
      <mc:Fallback>
        <control shapeId="1032" r:id="rId8" name="TextBox23"/>
      </mc:Fallback>
    </mc:AlternateContent>
    <mc:AlternateContent xmlns:mc="http://schemas.openxmlformats.org/markup-compatibility/2006">
      <mc:Choice Requires="x14">
        <control shapeId="1030" r:id="rId10" name="TextBox21">
          <controlPr autoLine="0" r:id="rId11">
            <anchor moveWithCells="1">
              <from>
                <xdr:col>1</xdr:col>
                <xdr:colOff>200025</xdr:colOff>
                <xdr:row>20</xdr:row>
                <xdr:rowOff>133350</xdr:rowOff>
              </from>
              <to>
                <xdr:col>4</xdr:col>
                <xdr:colOff>95250</xdr:colOff>
                <xdr:row>22</xdr:row>
                <xdr:rowOff>76200</xdr:rowOff>
              </to>
            </anchor>
          </controlPr>
        </control>
      </mc:Choice>
      <mc:Fallback>
        <control shapeId="1030" r:id="rId10" name="TextBox21"/>
      </mc:Fallback>
    </mc:AlternateContent>
    <mc:AlternateContent xmlns:mc="http://schemas.openxmlformats.org/markup-compatibility/2006">
      <mc:Choice Requires="x14">
        <control shapeId="1031" r:id="rId12" name="TextBox20">
          <controlPr autoLine="0" r:id="rId13">
            <anchor moveWithCells="1">
              <from>
                <xdr:col>1</xdr:col>
                <xdr:colOff>171450</xdr:colOff>
                <xdr:row>18</xdr:row>
                <xdr:rowOff>0</xdr:rowOff>
              </from>
              <to>
                <xdr:col>4</xdr:col>
                <xdr:colOff>66675</xdr:colOff>
                <xdr:row>19</xdr:row>
                <xdr:rowOff>28575</xdr:rowOff>
              </to>
            </anchor>
          </controlPr>
        </control>
      </mc:Choice>
      <mc:Fallback>
        <control shapeId="1031" r:id="rId12" name="TextBox20"/>
      </mc:Fallback>
    </mc:AlternateContent>
    <mc:AlternateContent xmlns:mc="http://schemas.openxmlformats.org/markup-compatibility/2006">
      <mc:Choice Requires="x14">
        <control shapeId="1029" r:id="rId14" name="Button 5">
          <controlPr defaultSize="0" print="0" autoFill="0" autoPict="0" macro="[0]!deletethestuff">
            <anchor moveWithCells="1" sizeWithCells="1">
              <from>
                <xdr:col>1</xdr:col>
                <xdr:colOff>0</xdr:colOff>
                <xdr:row>23</xdr:row>
                <xdr:rowOff>171450</xdr:rowOff>
              </from>
              <to>
                <xdr:col>2</xdr:col>
                <xdr:colOff>0</xdr:colOff>
                <xdr:row>25</xdr:row>
                <xdr:rowOff>9525</xdr:rowOff>
              </to>
            </anchor>
          </controlPr>
        </control>
      </mc:Choice>
    </mc:AlternateContent>
    <mc:AlternateContent xmlns:mc="http://schemas.openxmlformats.org/markup-compatibility/2006">
      <mc:Choice Requires="x14">
        <control shapeId="1035" r:id="rId15" name="Button 11">
          <controlPr defaultSize="0" print="0" autoFill="0" autoPict="0" macro="[0]!Sheet1.UPDATECL">
            <anchor moveWithCells="1" sizeWithCells="1">
              <from>
                <xdr:col>1</xdr:col>
                <xdr:colOff>171450</xdr:colOff>
                <xdr:row>52</xdr:row>
                <xdr:rowOff>9525</xdr:rowOff>
              </from>
              <to>
                <xdr:col>1</xdr:col>
                <xdr:colOff>1057275</xdr:colOff>
                <xdr:row>53</xdr:row>
                <xdr:rowOff>142875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19A22-9C97-4403-A1CA-0DD80B893A8C}">
  <sheetPr published="0" codeName="Sheet6">
    <tabColor rgb="FF0070C0"/>
  </sheetPr>
  <dimension ref="A1:K74"/>
  <sheetViews>
    <sheetView showGridLines="0" showRowColHeaders="0" zoomScale="70" zoomScaleNormal="70" workbookViewId="0">
      <selection activeCell="J49" sqref="J49"/>
    </sheetView>
  </sheetViews>
  <sheetFormatPr defaultRowHeight="15" x14ac:dyDescent="0.25"/>
  <cols>
    <col min="11" max="18" width="9.140625" customWidth="1"/>
  </cols>
  <sheetData>
    <row r="1" spans="1:11" ht="15" customHeight="1" x14ac:dyDescent="0.25">
      <c r="A1" s="263" t="s">
        <v>116</v>
      </c>
      <c r="B1" s="263"/>
      <c r="C1" s="263"/>
      <c r="D1" s="263"/>
      <c r="E1" s="263"/>
      <c r="F1" s="263"/>
      <c r="G1" s="263"/>
      <c r="H1" s="263"/>
      <c r="J1" s="264" t="s">
        <v>108</v>
      </c>
      <c r="K1" s="265"/>
    </row>
    <row r="2" spans="1:11" ht="15" customHeight="1" x14ac:dyDescent="0.25">
      <c r="A2" s="263"/>
      <c r="B2" s="263"/>
      <c r="C2" s="263"/>
      <c r="D2" s="263"/>
      <c r="E2" s="263"/>
      <c r="F2" s="263"/>
      <c r="G2" s="263"/>
      <c r="H2" s="263"/>
      <c r="J2" s="266"/>
      <c r="K2" s="267"/>
    </row>
    <row r="3" spans="1:11" ht="15" customHeight="1" x14ac:dyDescent="0.25">
      <c r="A3" s="158" t="s">
        <v>6</v>
      </c>
      <c r="B3" s="159"/>
      <c r="C3" s="159"/>
      <c r="D3" s="159"/>
      <c r="E3" s="159"/>
      <c r="F3" s="159"/>
      <c r="G3" s="159"/>
      <c r="H3" s="211"/>
      <c r="I3" s="118"/>
      <c r="J3" s="103"/>
      <c r="K3" s="107"/>
    </row>
    <row r="4" spans="1:11" ht="15" customHeight="1" x14ac:dyDescent="0.25">
      <c r="A4" s="160"/>
      <c r="B4" s="161"/>
      <c r="C4" s="161"/>
      <c r="D4" s="161"/>
      <c r="E4" s="161"/>
      <c r="F4" s="161"/>
      <c r="G4" s="161"/>
      <c r="H4" s="212"/>
      <c r="J4" s="105"/>
      <c r="K4" s="106"/>
    </row>
    <row r="5" spans="1:11" ht="15" customHeight="1" x14ac:dyDescent="0.25">
      <c r="A5" s="158" t="s">
        <v>4</v>
      </c>
      <c r="B5" s="159"/>
      <c r="C5" s="159"/>
      <c r="D5" s="159"/>
      <c r="E5" s="159"/>
      <c r="F5" s="159"/>
      <c r="G5" s="159"/>
      <c r="H5" s="211"/>
      <c r="J5" s="57"/>
      <c r="K5" s="104"/>
    </row>
    <row r="6" spans="1:11" ht="15" customHeight="1" x14ac:dyDescent="0.25">
      <c r="A6" s="160"/>
      <c r="B6" s="161"/>
      <c r="C6" s="161"/>
      <c r="D6" s="161"/>
      <c r="E6" s="161"/>
      <c r="F6" s="161"/>
      <c r="G6" s="161"/>
      <c r="H6" s="212"/>
      <c r="J6" s="109"/>
      <c r="K6" s="108" t="s">
        <v>62</v>
      </c>
    </row>
    <row r="7" spans="1:11" ht="15" customHeight="1" x14ac:dyDescent="0.25">
      <c r="A7" s="158" t="s">
        <v>0</v>
      </c>
      <c r="B7" s="159"/>
      <c r="C7" s="159"/>
      <c r="D7" s="159"/>
      <c r="E7" s="159"/>
      <c r="F7" s="159"/>
      <c r="G7" s="159"/>
      <c r="H7" s="211"/>
      <c r="J7" s="39"/>
      <c r="K7" s="39"/>
    </row>
    <row r="8" spans="1:11" ht="15" customHeight="1" x14ac:dyDescent="0.25">
      <c r="A8" s="160"/>
      <c r="B8" s="161"/>
      <c r="C8" s="161"/>
      <c r="D8" s="161"/>
      <c r="E8" s="161"/>
      <c r="F8" s="161"/>
      <c r="G8" s="161"/>
      <c r="H8" s="212"/>
      <c r="J8" s="39" t="s">
        <v>62</v>
      </c>
      <c r="K8" s="39"/>
    </row>
    <row r="9" spans="1:11" ht="15" customHeight="1" x14ac:dyDescent="0.25">
      <c r="A9" s="158" t="s">
        <v>63</v>
      </c>
      <c r="B9" s="159"/>
      <c r="C9" s="159"/>
      <c r="D9" s="159"/>
      <c r="E9" s="159"/>
      <c r="F9" s="159"/>
      <c r="G9" s="159"/>
      <c r="H9" s="211"/>
      <c r="J9" s="1"/>
      <c r="K9" s="1"/>
    </row>
    <row r="10" spans="1:11" ht="15" customHeight="1" x14ac:dyDescent="0.25">
      <c r="A10" s="160"/>
      <c r="B10" s="161"/>
      <c r="C10" s="161"/>
      <c r="D10" s="161"/>
      <c r="E10" s="161"/>
      <c r="F10" s="161"/>
      <c r="G10" s="161"/>
      <c r="H10" s="212"/>
      <c r="J10" s="1"/>
      <c r="K10" s="1"/>
    </row>
    <row r="11" spans="1:11" ht="15" customHeight="1" x14ac:dyDescent="0.25">
      <c r="A11" s="158" t="s">
        <v>64</v>
      </c>
      <c r="B11" s="159"/>
      <c r="C11" s="159"/>
      <c r="D11" s="159"/>
      <c r="E11" s="159"/>
      <c r="F11" s="159"/>
      <c r="G11" s="159"/>
      <c r="H11" s="211"/>
      <c r="J11" s="1"/>
      <c r="K11" s="1"/>
    </row>
    <row r="12" spans="1:11" ht="15" customHeight="1" x14ac:dyDescent="0.25">
      <c r="A12" s="160"/>
      <c r="B12" s="161"/>
      <c r="C12" s="161"/>
      <c r="D12" s="161"/>
      <c r="E12" s="161"/>
      <c r="F12" s="161"/>
      <c r="G12" s="161"/>
      <c r="H12" s="212"/>
      <c r="J12" s="1"/>
      <c r="K12" s="1"/>
    </row>
    <row r="13" spans="1:11" ht="15" customHeight="1" x14ac:dyDescent="0.25">
      <c r="A13" s="247" t="s">
        <v>27</v>
      </c>
      <c r="B13" s="248"/>
      <c r="C13" s="248"/>
      <c r="D13" s="248"/>
      <c r="E13" s="248"/>
      <c r="F13" s="248"/>
      <c r="G13" s="248"/>
      <c r="H13" s="249"/>
      <c r="J13" s="1"/>
      <c r="K13" s="1"/>
    </row>
    <row r="14" spans="1:11" ht="15" customHeight="1" x14ac:dyDescent="0.25">
      <c r="A14" s="158" t="s">
        <v>65</v>
      </c>
      <c r="B14" s="159"/>
      <c r="C14" s="159"/>
      <c r="D14" s="159"/>
      <c r="E14" s="159"/>
      <c r="F14" s="159"/>
      <c r="G14" s="159"/>
      <c r="H14" s="211"/>
      <c r="J14" s="233" t="s">
        <v>46</v>
      </c>
      <c r="K14" s="233"/>
    </row>
    <row r="15" spans="1:11" ht="15" customHeight="1" x14ac:dyDescent="0.25">
      <c r="A15" s="160"/>
      <c r="B15" s="161"/>
      <c r="C15" s="161"/>
      <c r="D15" s="161"/>
      <c r="E15" s="161"/>
      <c r="F15" s="161"/>
      <c r="G15" s="161"/>
      <c r="H15" s="212"/>
      <c r="J15" s="233"/>
      <c r="K15" s="233"/>
    </row>
    <row r="16" spans="1:11" ht="15" customHeight="1" x14ac:dyDescent="0.25">
      <c r="A16" s="158" t="s">
        <v>66</v>
      </c>
      <c r="B16" s="159"/>
      <c r="C16" s="159"/>
      <c r="D16" s="159"/>
      <c r="E16" s="159"/>
      <c r="F16" s="159"/>
      <c r="G16" s="159"/>
      <c r="H16" s="211"/>
      <c r="J16" s="234">
        <f>IF('SAVE DATA'!E12="",1,'SAVE DATA'!E12)</f>
        <v>1</v>
      </c>
      <c r="K16" s="234"/>
    </row>
    <row r="17" spans="1:11" ht="15" customHeight="1" x14ac:dyDescent="0.25">
      <c r="A17" s="160"/>
      <c r="B17" s="161"/>
      <c r="C17" s="161"/>
      <c r="D17" s="161"/>
      <c r="E17" s="161"/>
      <c r="F17" s="161"/>
      <c r="G17" s="161"/>
      <c r="H17" s="212"/>
      <c r="J17" s="234">
        <f>IF('SAVE DATA'!E22="",2,'SAVE DATA'!E22)</f>
        <v>2</v>
      </c>
      <c r="K17" s="234"/>
    </row>
    <row r="18" spans="1:11" ht="15" customHeight="1" x14ac:dyDescent="0.25">
      <c r="A18" s="158" t="str">
        <f>IF(Competitors!E17="YES","Shipping:***","Shipping:")</f>
        <v>Shipping:</v>
      </c>
      <c r="B18" s="159"/>
      <c r="C18" s="159"/>
      <c r="D18" s="159"/>
      <c r="E18" s="159"/>
      <c r="F18" s="159"/>
      <c r="G18" s="159"/>
      <c r="H18" s="211"/>
      <c r="J18" s="234">
        <f>IF('SAVE DATA'!E32="",3,'SAVE DATA'!E32)</f>
        <v>3</v>
      </c>
      <c r="K18" s="234"/>
    </row>
    <row r="19" spans="1:11" ht="15" customHeight="1" x14ac:dyDescent="0.25">
      <c r="A19" s="160"/>
      <c r="B19" s="161"/>
      <c r="C19" s="161"/>
      <c r="D19" s="161"/>
      <c r="E19" s="161"/>
      <c r="F19" s="161"/>
      <c r="G19" s="161"/>
      <c r="H19" s="212"/>
      <c r="J19" s="234">
        <f>IF('SAVE DATA'!E42="",4,'SAVE DATA'!E42)</f>
        <v>4</v>
      </c>
      <c r="K19" s="234"/>
    </row>
    <row r="20" spans="1:11" ht="15" customHeight="1" x14ac:dyDescent="0.25">
      <c r="A20" s="158" t="str">
        <f>IF(Competitors!E17="YES","Processing:***","Processing:")</f>
        <v>Processing:</v>
      </c>
      <c r="B20" s="159"/>
      <c r="C20" s="159"/>
      <c r="D20" s="159"/>
      <c r="E20" s="159"/>
      <c r="F20" s="159"/>
      <c r="G20" s="159"/>
      <c r="H20" s="211"/>
      <c r="J20" s="234">
        <f>IF('SAVE DATA'!E52="",5,'SAVE DATA'!E52)</f>
        <v>5</v>
      </c>
      <c r="K20" s="234"/>
    </row>
    <row r="21" spans="1:11" ht="15" customHeight="1" x14ac:dyDescent="0.25">
      <c r="A21" s="160"/>
      <c r="B21" s="161"/>
      <c r="C21" s="161"/>
      <c r="D21" s="161"/>
      <c r="E21" s="161"/>
      <c r="F21" s="161"/>
      <c r="G21" s="161"/>
      <c r="H21" s="212"/>
      <c r="J21" s="231" t="s">
        <v>44</v>
      </c>
      <c r="K21" s="232" t="s">
        <v>45</v>
      </c>
    </row>
    <row r="22" spans="1:11" ht="15" customHeight="1" x14ac:dyDescent="0.25">
      <c r="A22" s="158" t="s">
        <v>35</v>
      </c>
      <c r="B22" s="159"/>
      <c r="C22" s="159"/>
      <c r="D22" s="162" t="str">
        <f>DOLLAR('MAIN - FRAMES'!B12)</f>
        <v>$0.00</v>
      </c>
      <c r="E22" s="162"/>
      <c r="F22" s="162"/>
      <c r="G22" s="162"/>
      <c r="H22" s="163"/>
      <c r="J22" s="231"/>
      <c r="K22" s="232"/>
    </row>
    <row r="23" spans="1:11" ht="15" customHeight="1" x14ac:dyDescent="0.25">
      <c r="A23" s="160"/>
      <c r="B23" s="161"/>
      <c r="C23" s="161"/>
      <c r="D23" s="164"/>
      <c r="E23" s="164"/>
      <c r="F23" s="164"/>
      <c r="G23" s="164"/>
      <c r="H23" s="165"/>
      <c r="J23" s="39"/>
    </row>
    <row r="24" spans="1:11" ht="15" customHeight="1" x14ac:dyDescent="0.25">
      <c r="A24" s="247" t="s">
        <v>28</v>
      </c>
      <c r="B24" s="248"/>
      <c r="C24" s="248"/>
      <c r="D24" s="248"/>
      <c r="E24" s="248"/>
      <c r="F24" s="248"/>
      <c r="G24" s="248"/>
      <c r="H24" s="249"/>
      <c r="I24" s="39"/>
    </row>
    <row r="25" spans="1:11" ht="15" customHeight="1" x14ac:dyDescent="0.25">
      <c r="A25" s="158" t="s">
        <v>67</v>
      </c>
      <c r="B25" s="159"/>
      <c r="C25" s="159"/>
      <c r="D25" s="159"/>
      <c r="E25" s="159"/>
      <c r="F25" s="159"/>
      <c r="G25" s="159"/>
      <c r="H25" s="211"/>
      <c r="I25" s="39"/>
    </row>
    <row r="26" spans="1:11" ht="15" customHeight="1" x14ac:dyDescent="0.25">
      <c r="A26" s="235"/>
      <c r="B26" s="236"/>
      <c r="C26" s="236"/>
      <c r="D26" s="236"/>
      <c r="E26" s="236"/>
      <c r="F26" s="236"/>
      <c r="G26" s="236"/>
      <c r="H26" s="237"/>
    </row>
    <row r="27" spans="1:11" ht="15" customHeight="1" x14ac:dyDescent="0.25">
      <c r="A27" s="278" t="s">
        <v>68</v>
      </c>
      <c r="B27" s="279"/>
      <c r="C27" s="257" t="s">
        <v>69</v>
      </c>
      <c r="D27" s="257"/>
      <c r="E27" s="257" t="s">
        <v>70</v>
      </c>
      <c r="F27" s="257"/>
      <c r="G27" s="257" t="s">
        <v>71</v>
      </c>
      <c r="H27" s="259"/>
    </row>
    <row r="28" spans="1:11" ht="15" customHeight="1" x14ac:dyDescent="0.25">
      <c r="A28" s="280"/>
      <c r="B28" s="281"/>
      <c r="C28" s="258"/>
      <c r="D28" s="258"/>
      <c r="E28" s="258"/>
      <c r="F28" s="258"/>
      <c r="G28" s="258"/>
      <c r="H28" s="260"/>
    </row>
    <row r="29" spans="1:11" ht="15" customHeight="1" x14ac:dyDescent="0.25">
      <c r="A29" s="235" t="s">
        <v>14</v>
      </c>
      <c r="B29" s="236"/>
      <c r="C29" s="261"/>
      <c r="D29" s="261"/>
      <c r="E29" s="274" t="str">
        <f>DOLLAR('MAIN - FRAMES'!B16)</f>
        <v>$0.00</v>
      </c>
      <c r="F29" s="274"/>
      <c r="G29" s="274"/>
      <c r="H29" s="275"/>
    </row>
    <row r="30" spans="1:11" ht="15" customHeight="1" x14ac:dyDescent="0.25">
      <c r="A30" s="160"/>
      <c r="B30" s="161"/>
      <c r="C30" s="262"/>
      <c r="D30" s="262"/>
      <c r="E30" s="164"/>
      <c r="F30" s="164"/>
      <c r="G30" s="164"/>
      <c r="H30" s="165"/>
    </row>
    <row r="31" spans="1:11" ht="15" customHeight="1" x14ac:dyDescent="0.25">
      <c r="A31" s="247" t="s">
        <v>72</v>
      </c>
      <c r="B31" s="248"/>
      <c r="C31" s="248"/>
      <c r="D31" s="248"/>
      <c r="E31" s="248"/>
      <c r="F31" s="256"/>
      <c r="G31" s="248"/>
      <c r="H31" s="249"/>
    </row>
    <row r="32" spans="1:11" ht="15" customHeight="1" x14ac:dyDescent="0.25">
      <c r="A32" s="158" t="s">
        <v>31</v>
      </c>
      <c r="B32" s="159"/>
      <c r="C32" s="211"/>
      <c r="D32" s="191" t="s">
        <v>32</v>
      </c>
      <c r="E32" s="192"/>
      <c r="F32" s="276"/>
      <c r="G32" s="192" t="s">
        <v>33</v>
      </c>
      <c r="H32" s="197"/>
    </row>
    <row r="33" spans="1:9" ht="15" customHeight="1" x14ac:dyDescent="0.25">
      <c r="A33" s="160"/>
      <c r="B33" s="161"/>
      <c r="C33" s="212"/>
      <c r="D33" s="193"/>
      <c r="E33" s="194"/>
      <c r="F33" s="277"/>
      <c r="G33" s="194"/>
      <c r="H33" s="198"/>
    </row>
    <row r="34" spans="1:9" ht="15" customHeight="1" x14ac:dyDescent="0.25">
      <c r="A34" s="158" t="s">
        <v>73</v>
      </c>
      <c r="B34" s="159"/>
      <c r="C34" s="159"/>
      <c r="D34" s="159"/>
      <c r="E34" s="159"/>
      <c r="F34" s="159"/>
      <c r="G34" s="159"/>
      <c r="H34" s="211"/>
    </row>
    <row r="35" spans="1:9" ht="15" customHeight="1" x14ac:dyDescent="0.25">
      <c r="A35" s="160"/>
      <c r="B35" s="161"/>
      <c r="C35" s="161"/>
      <c r="D35" s="161"/>
      <c r="E35" s="161"/>
      <c r="F35" s="161"/>
      <c r="G35" s="161"/>
      <c r="H35" s="212"/>
    </row>
    <row r="36" spans="1:9" ht="15" customHeight="1" x14ac:dyDescent="0.25">
      <c r="A36" s="247"/>
      <c r="B36" s="248"/>
      <c r="C36" s="248"/>
      <c r="D36" s="248"/>
      <c r="E36" s="248"/>
      <c r="F36" s="256"/>
      <c r="G36" s="248"/>
      <c r="H36" s="249"/>
    </row>
    <row r="37" spans="1:9" ht="15" customHeight="1" x14ac:dyDescent="0.25">
      <c r="A37" s="187" t="s">
        <v>37</v>
      </c>
      <c r="B37" s="188"/>
      <c r="C37" s="188"/>
      <c r="D37" s="191" t="s">
        <v>32</v>
      </c>
      <c r="E37" s="192"/>
      <c r="F37" s="195"/>
      <c r="G37" s="192" t="s">
        <v>33</v>
      </c>
      <c r="H37" s="197"/>
    </row>
    <row r="38" spans="1:9" ht="15" customHeight="1" x14ac:dyDescent="0.25">
      <c r="A38" s="250"/>
      <c r="B38" s="251"/>
      <c r="C38" s="251"/>
      <c r="D38" s="252"/>
      <c r="E38" s="253"/>
      <c r="F38" s="254"/>
      <c r="G38" s="253"/>
      <c r="H38" s="255"/>
    </row>
    <row r="39" spans="1:9" ht="15" customHeight="1" x14ac:dyDescent="0.25">
      <c r="A39" s="158" t="str">
        <f>IF(F37=1,"Price Match Difference:","Promo Code Amount:")</f>
        <v>Promo Code Amount:</v>
      </c>
      <c r="B39" s="159"/>
      <c r="C39" s="159"/>
      <c r="D39" s="215" t="str">
        <f>DOLLAR('MAIN - FRAMES'!B21)</f>
        <v>$0.00</v>
      </c>
      <c r="E39" s="162"/>
      <c r="F39" s="162"/>
      <c r="G39" s="162"/>
      <c r="H39" s="163"/>
      <c r="I39" s="40"/>
    </row>
    <row r="40" spans="1:9" ht="15" customHeight="1" x14ac:dyDescent="0.25">
      <c r="A40" s="160"/>
      <c r="B40" s="161"/>
      <c r="C40" s="161"/>
      <c r="D40" s="164"/>
      <c r="E40" s="164"/>
      <c r="F40" s="164"/>
      <c r="G40" s="164"/>
      <c r="H40" s="165"/>
    </row>
    <row r="41" spans="1:9" ht="15" customHeight="1" x14ac:dyDescent="0.25">
      <c r="A41" s="175"/>
      <c r="B41" s="176"/>
      <c r="C41" s="176"/>
      <c r="D41" s="176"/>
      <c r="E41" s="176"/>
      <c r="F41" s="176"/>
      <c r="G41" s="176"/>
      <c r="H41" s="177"/>
    </row>
    <row r="42" spans="1:9" ht="15" customHeight="1" x14ac:dyDescent="0.25">
      <c r="A42" s="178"/>
      <c r="B42" s="179"/>
      <c r="C42" s="179"/>
      <c r="D42" s="179"/>
      <c r="E42" s="179"/>
      <c r="F42" s="179"/>
      <c r="G42" s="179"/>
      <c r="H42" s="180"/>
    </row>
    <row r="43" spans="1:9" ht="15" customHeight="1" x14ac:dyDescent="0.25">
      <c r="A43" s="133"/>
      <c r="B43" s="133"/>
      <c r="C43" s="133"/>
      <c r="D43" s="133"/>
      <c r="E43" s="133"/>
      <c r="F43" s="133"/>
      <c r="G43" s="133"/>
      <c r="H43" s="133"/>
    </row>
    <row r="44" spans="1:9" ht="15" customHeight="1" x14ac:dyDescent="0.25">
      <c r="A44" s="268" t="s">
        <v>42</v>
      </c>
      <c r="B44" s="269"/>
      <c r="C44" s="269"/>
      <c r="D44" s="269"/>
      <c r="E44" s="269"/>
      <c r="F44" s="269"/>
      <c r="G44" s="269"/>
      <c r="H44" s="270"/>
    </row>
    <row r="45" spans="1:9" ht="15" customHeight="1" x14ac:dyDescent="0.25">
      <c r="A45" s="271"/>
      <c r="B45" s="272"/>
      <c r="C45" s="272"/>
      <c r="D45" s="272"/>
      <c r="E45" s="272"/>
      <c r="F45" s="272"/>
      <c r="G45" s="272"/>
      <c r="H45" s="273"/>
    </row>
    <row r="46" spans="1:9" ht="15" customHeight="1" x14ac:dyDescent="0.25">
      <c r="A46" s="241" t="str">
        <f>IF(F37=0,"",IF(F37=1,"Refund difference on order.","↓  Obtain Promotion Code from SQ  ↓"))</f>
        <v/>
      </c>
      <c r="B46" s="242"/>
      <c r="C46" s="242"/>
      <c r="D46" s="242"/>
      <c r="E46" s="242"/>
      <c r="F46" s="242"/>
      <c r="G46" s="242"/>
      <c r="H46" s="243"/>
    </row>
    <row r="47" spans="1:9" ht="15" customHeight="1" x14ac:dyDescent="0.25">
      <c r="A47" s="244"/>
      <c r="B47" s="245"/>
      <c r="C47" s="245"/>
      <c r="D47" s="245"/>
      <c r="E47" s="245"/>
      <c r="F47" s="245"/>
      <c r="G47" s="245"/>
      <c r="H47" s="246"/>
    </row>
    <row r="48" spans="1:9" ht="15" customHeight="1" x14ac:dyDescent="0.25">
      <c r="A48" s="158" t="str">
        <f>IF(F37=0,"",IF(F37=1,"Refund:","Promotion Code:"))</f>
        <v/>
      </c>
      <c r="B48" s="159"/>
      <c r="C48" s="159"/>
      <c r="D48" s="162" t="str">
        <f>IF(F37=1,DOLLAR(D39),"")</f>
        <v/>
      </c>
      <c r="E48" s="162"/>
      <c r="F48" s="162"/>
      <c r="G48" s="162"/>
      <c r="H48" s="163"/>
    </row>
    <row r="49" spans="1:8" ht="15" customHeight="1" x14ac:dyDescent="0.25">
      <c r="A49" s="160"/>
      <c r="B49" s="161"/>
      <c r="C49" s="161"/>
      <c r="D49" s="164"/>
      <c r="E49" s="164"/>
      <c r="F49" s="164"/>
      <c r="G49" s="164"/>
      <c r="H49" s="165"/>
    </row>
    <row r="50" spans="1:8" ht="15" customHeight="1" x14ac:dyDescent="0.25">
      <c r="A50" s="175"/>
      <c r="B50" s="176"/>
      <c r="C50" s="176"/>
      <c r="D50" s="176"/>
      <c r="E50" s="176"/>
      <c r="F50" s="176"/>
      <c r="G50" s="176"/>
      <c r="H50" s="177"/>
    </row>
    <row r="51" spans="1:8" ht="15" customHeight="1" x14ac:dyDescent="0.25">
      <c r="A51" s="178"/>
      <c r="B51" s="179"/>
      <c r="C51" s="179"/>
      <c r="D51" s="179"/>
      <c r="E51" s="179"/>
      <c r="F51" s="179"/>
      <c r="G51" s="179"/>
      <c r="H51" s="180"/>
    </row>
    <row r="52" spans="1:8" ht="15" customHeight="1" x14ac:dyDescent="0.25"/>
    <row r="53" spans="1:8" ht="15" customHeight="1" x14ac:dyDescent="0.25">
      <c r="B53" s="124"/>
      <c r="C53" s="166"/>
      <c r="D53" s="167"/>
      <c r="E53" s="167"/>
      <c r="F53" s="168"/>
      <c r="G53" s="124"/>
    </row>
    <row r="54" spans="1:8" ht="15" customHeight="1" x14ac:dyDescent="0.25">
      <c r="B54" s="124"/>
      <c r="C54" s="169"/>
      <c r="D54" s="170"/>
      <c r="E54" s="170"/>
      <c r="F54" s="171"/>
      <c r="G54" s="124"/>
    </row>
    <row r="55" spans="1:8" ht="15" customHeight="1" x14ac:dyDescent="0.25">
      <c r="B55" s="124"/>
      <c r="C55" s="124"/>
      <c r="D55" s="124"/>
      <c r="E55" s="124"/>
      <c r="F55" s="124"/>
      <c r="G55" s="124"/>
    </row>
    <row r="56" spans="1:8" ht="15" customHeight="1" x14ac:dyDescent="0.25"/>
    <row r="69" spans="1:8" x14ac:dyDescent="0.25">
      <c r="A69" s="60"/>
      <c r="B69" s="60"/>
      <c r="C69" s="60"/>
      <c r="D69" s="60"/>
      <c r="E69" s="60"/>
      <c r="F69" s="60"/>
      <c r="G69" s="60"/>
      <c r="H69" s="60"/>
    </row>
    <row r="70" spans="1:8" x14ac:dyDescent="0.25">
      <c r="A70" s="60"/>
      <c r="H70" s="60"/>
    </row>
    <row r="71" spans="1:8" x14ac:dyDescent="0.25">
      <c r="A71" s="60"/>
      <c r="H71" s="60"/>
    </row>
    <row r="72" spans="1:8" x14ac:dyDescent="0.25">
      <c r="A72" s="60"/>
      <c r="H72" s="60"/>
    </row>
    <row r="73" spans="1:8" x14ac:dyDescent="0.25">
      <c r="A73" s="60"/>
      <c r="H73" s="60"/>
    </row>
    <row r="74" spans="1:8" x14ac:dyDescent="0.25">
      <c r="A74" s="60"/>
      <c r="H74" s="60"/>
    </row>
  </sheetData>
  <sheetProtection algorithmName="SHA-512" hashValue="cDV+93FLbhxN2EA529WtR3INY15BD9U5yLBs402YvFw2gD3RZcOhzqJjjG78rGyKqCe9UB2NtNFyUL4OLKCT8g==" saltValue="nQUdp+aiNLV4DHbas6bgLA==" spinCount="100000" sheet="1" objects="1" scenarios="1"/>
  <mergeCells count="51">
    <mergeCell ref="J21:J22"/>
    <mergeCell ref="K21:K22"/>
    <mergeCell ref="J14:K15"/>
    <mergeCell ref="J16:K16"/>
    <mergeCell ref="J17:K17"/>
    <mergeCell ref="J18:K18"/>
    <mergeCell ref="J19:K19"/>
    <mergeCell ref="J1:K2"/>
    <mergeCell ref="A34:H35"/>
    <mergeCell ref="A44:H45"/>
    <mergeCell ref="A39:C40"/>
    <mergeCell ref="D39:H40"/>
    <mergeCell ref="E29:H30"/>
    <mergeCell ref="A31:H31"/>
    <mergeCell ref="A32:C33"/>
    <mergeCell ref="D32:E33"/>
    <mergeCell ref="F32:F33"/>
    <mergeCell ref="G32:H33"/>
    <mergeCell ref="A24:H24"/>
    <mergeCell ref="A25:H26"/>
    <mergeCell ref="A27:B28"/>
    <mergeCell ref="J20:K20"/>
    <mergeCell ref="A11:H12"/>
    <mergeCell ref="A1:H2"/>
    <mergeCell ref="A3:H4"/>
    <mergeCell ref="A5:H6"/>
    <mergeCell ref="A7:H8"/>
    <mergeCell ref="A9:H10"/>
    <mergeCell ref="D22:H23"/>
    <mergeCell ref="A37:C38"/>
    <mergeCell ref="D37:E38"/>
    <mergeCell ref="F37:F38"/>
    <mergeCell ref="G37:H38"/>
    <mergeCell ref="A36:H36"/>
    <mergeCell ref="C27:D28"/>
    <mergeCell ref="E27:F28"/>
    <mergeCell ref="G27:H28"/>
    <mergeCell ref="A22:C23"/>
    <mergeCell ref="A29:B30"/>
    <mergeCell ref="C29:D30"/>
    <mergeCell ref="A13:H13"/>
    <mergeCell ref="A14:H15"/>
    <mergeCell ref="A16:H17"/>
    <mergeCell ref="A18:H19"/>
    <mergeCell ref="A20:H21"/>
    <mergeCell ref="A48:C49"/>
    <mergeCell ref="D48:H49"/>
    <mergeCell ref="A41:H42"/>
    <mergeCell ref="A50:H51"/>
    <mergeCell ref="C53:F54"/>
    <mergeCell ref="A46:H47"/>
  </mergeCells>
  <conditionalFormatting sqref="F32">
    <cfRule type="cellIs" dxfId="6" priority="6" operator="equal">
      <formula>2</formula>
    </cfRule>
    <cfRule type="cellIs" dxfId="5" priority="7" operator="equal">
      <formula>1</formula>
    </cfRule>
  </conditionalFormatting>
  <conditionalFormatting sqref="F37">
    <cfRule type="cellIs" dxfId="4" priority="4" operator="equal">
      <formula>1</formula>
    </cfRule>
    <cfRule type="cellIs" dxfId="3" priority="5" operator="equal">
      <formula>2</formula>
    </cfRule>
  </conditionalFormatting>
  <conditionalFormatting sqref="A18:H21">
    <cfRule type="notContainsText" dxfId="2" priority="2" operator="notContains" text="***">
      <formula>ISERROR(SEARCH("***",A18))</formula>
    </cfRule>
    <cfRule type="endsWith" dxfId="1" priority="3" operator="endsWith" text="***">
      <formula>RIGHT(A18,LEN("***"))="***"</formula>
    </cfRule>
  </conditionalFormatting>
  <dataValidations count="1">
    <dataValidation allowBlank="1" showInputMessage="1" showErrorMessage="1" prompt="Select A Lens Type" sqref="A27:H28" xr:uid="{F645C0FE-4622-4C47-90D3-5E2C954967AB}"/>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68" r:id="rId4" name="TextBox2">
          <controlPr defaultSize="0" autoLine="0" r:id="rId5">
            <anchor moveWithCells="1">
              <from>
                <xdr:col>3</xdr:col>
                <xdr:colOff>76200</xdr:colOff>
                <xdr:row>4</xdr:row>
                <xdr:rowOff>47625</xdr:rowOff>
              </from>
              <to>
                <xdr:col>7</xdr:col>
                <xdr:colOff>590550</xdr:colOff>
                <xdr:row>5</xdr:row>
                <xdr:rowOff>142875</xdr:rowOff>
              </to>
            </anchor>
          </controlPr>
        </control>
      </mc:Choice>
      <mc:Fallback>
        <control shapeId="9268" r:id="rId4" name="TextBox2"/>
      </mc:Fallback>
    </mc:AlternateContent>
    <mc:AlternateContent xmlns:mc="http://schemas.openxmlformats.org/markup-compatibility/2006">
      <mc:Choice Requires="x14">
        <control shapeId="9267" r:id="rId6" name="CommandButton5">
          <controlPr defaultSize="0" autoLine="0" r:id="rId7">
            <anchor moveWithCells="1">
              <from>
                <xdr:col>9</xdr:col>
                <xdr:colOff>38100</xdr:colOff>
                <xdr:row>4</xdr:row>
                <xdr:rowOff>57150</xdr:rowOff>
              </from>
              <to>
                <xdr:col>10</xdr:col>
                <xdr:colOff>571500</xdr:colOff>
                <xdr:row>5</xdr:row>
                <xdr:rowOff>171450</xdr:rowOff>
              </to>
            </anchor>
          </controlPr>
        </control>
      </mc:Choice>
      <mc:Fallback>
        <control shapeId="9267" r:id="rId6" name="CommandButton5"/>
      </mc:Fallback>
    </mc:AlternateContent>
    <mc:AlternateContent xmlns:mc="http://schemas.openxmlformats.org/markup-compatibility/2006">
      <mc:Choice Requires="x14">
        <control shapeId="9266" r:id="rId8" name="frameload">
          <controlPr defaultSize="0" autoLine="0" r:id="rId9">
            <anchor moveWithCells="1">
              <from>
                <xdr:col>10</xdr:col>
                <xdr:colOff>19050</xdr:colOff>
                <xdr:row>20</xdr:row>
                <xdr:rowOff>28575</xdr:rowOff>
              </from>
              <to>
                <xdr:col>10</xdr:col>
                <xdr:colOff>600075</xdr:colOff>
                <xdr:row>21</xdr:row>
                <xdr:rowOff>171450</xdr:rowOff>
              </to>
            </anchor>
          </controlPr>
        </control>
      </mc:Choice>
      <mc:Fallback>
        <control shapeId="9266" r:id="rId8" name="frameload"/>
      </mc:Fallback>
    </mc:AlternateContent>
    <mc:AlternateContent xmlns:mc="http://schemas.openxmlformats.org/markup-compatibility/2006">
      <mc:Choice Requires="x14">
        <control shapeId="9265" r:id="rId10" name="framesave">
          <controlPr defaultSize="0" autoLine="0" altText="💾 SAVE" r:id="rId9">
            <anchor moveWithCells="1">
              <from>
                <xdr:col>9</xdr:col>
                <xdr:colOff>19050</xdr:colOff>
                <xdr:row>20</xdr:row>
                <xdr:rowOff>28575</xdr:rowOff>
              </from>
              <to>
                <xdr:col>9</xdr:col>
                <xdr:colOff>600075</xdr:colOff>
                <xdr:row>21</xdr:row>
                <xdr:rowOff>171450</xdr:rowOff>
              </to>
            </anchor>
          </controlPr>
        </control>
      </mc:Choice>
      <mc:Fallback>
        <control shapeId="9265" r:id="rId10" name="framesave"/>
      </mc:Fallback>
    </mc:AlternateContent>
    <mc:AlternateContent xmlns:mc="http://schemas.openxmlformats.org/markup-compatibility/2006">
      <mc:Choice Requires="x14">
        <control shapeId="9259" r:id="rId11" name="CommandButton2">
          <controlPr defaultSize="0" autoLine="0" r:id="rId12">
            <anchor moveWithCells="1">
              <from>
                <xdr:col>9</xdr:col>
                <xdr:colOff>38100</xdr:colOff>
                <xdr:row>2</xdr:row>
                <xdr:rowOff>38100</xdr:rowOff>
              </from>
              <to>
                <xdr:col>10</xdr:col>
                <xdr:colOff>571500</xdr:colOff>
                <xdr:row>3</xdr:row>
                <xdr:rowOff>152400</xdr:rowOff>
              </to>
            </anchor>
          </controlPr>
        </control>
      </mc:Choice>
      <mc:Fallback>
        <control shapeId="9259" r:id="rId11" name="CommandButton2"/>
      </mc:Fallback>
    </mc:AlternateContent>
    <mc:AlternateContent xmlns:mc="http://schemas.openxmlformats.org/markup-compatibility/2006">
      <mc:Choice Requires="x14">
        <control shapeId="9255" r:id="rId13" name="CommandButton1">
          <controlPr defaultSize="0" disabled="1" autoLine="0" r:id="rId14">
            <anchor moveWithCells="1">
              <from>
                <xdr:col>0</xdr:col>
                <xdr:colOff>190500</xdr:colOff>
                <xdr:row>40</xdr:row>
                <xdr:rowOff>47625</xdr:rowOff>
              </from>
              <to>
                <xdr:col>7</xdr:col>
                <xdr:colOff>419100</xdr:colOff>
                <xdr:row>41</xdr:row>
                <xdr:rowOff>161925</xdr:rowOff>
              </to>
            </anchor>
          </controlPr>
        </control>
      </mc:Choice>
      <mc:Fallback>
        <control shapeId="9255" r:id="rId13" name="CommandButton1"/>
      </mc:Fallback>
    </mc:AlternateContent>
    <mc:AlternateContent xmlns:mc="http://schemas.openxmlformats.org/markup-compatibility/2006">
      <mc:Choice Requires="x14">
        <control shapeId="9241" r:id="rId15" name="ComboBox1">
          <controlPr defaultSize="0" autoLine="0" listFillRange="Competitors!A1:A15" r:id="rId16">
            <anchor moveWithCells="1">
              <from>
                <xdr:col>3</xdr:col>
                <xdr:colOff>76200</xdr:colOff>
                <xdr:row>13</xdr:row>
                <xdr:rowOff>47625</xdr:rowOff>
              </from>
              <to>
                <xdr:col>7</xdr:col>
                <xdr:colOff>590550</xdr:colOff>
                <xdr:row>14</xdr:row>
                <xdr:rowOff>142875</xdr:rowOff>
              </to>
            </anchor>
          </controlPr>
        </control>
      </mc:Choice>
      <mc:Fallback>
        <control shapeId="9241" r:id="rId15" name="ComboBox1"/>
      </mc:Fallback>
    </mc:AlternateContent>
    <mc:AlternateContent xmlns:mc="http://schemas.openxmlformats.org/markup-compatibility/2006">
      <mc:Choice Requires="x14">
        <control shapeId="9240" r:id="rId17" name="copyemail">
          <controlPr defaultSize="0" disabled="1" autoLine="0" autoPict="0" r:id="rId18">
            <anchor moveWithCells="1">
              <from>
                <xdr:col>0</xdr:col>
                <xdr:colOff>190500</xdr:colOff>
                <xdr:row>49</xdr:row>
                <xdr:rowOff>66675</xdr:rowOff>
              </from>
              <to>
                <xdr:col>7</xdr:col>
                <xdr:colOff>419100</xdr:colOff>
                <xdr:row>50</xdr:row>
                <xdr:rowOff>180975</xdr:rowOff>
              </to>
            </anchor>
          </controlPr>
        </control>
      </mc:Choice>
      <mc:Fallback>
        <control shapeId="9240" r:id="rId17" name="copyemail"/>
      </mc:Fallback>
    </mc:AlternateContent>
    <mc:AlternateContent xmlns:mc="http://schemas.openxmlformats.org/markup-compatibility/2006">
      <mc:Choice Requires="x14">
        <control shapeId="9239" r:id="rId19" name="TextBox11">
          <controlPr defaultSize="0" autoLine="0" r:id="rId5">
            <anchor moveWithCells="1">
              <from>
                <xdr:col>3</xdr:col>
                <xdr:colOff>76200</xdr:colOff>
                <xdr:row>33</xdr:row>
                <xdr:rowOff>47625</xdr:rowOff>
              </from>
              <to>
                <xdr:col>7</xdr:col>
                <xdr:colOff>590550</xdr:colOff>
                <xdr:row>34</xdr:row>
                <xdr:rowOff>142875</xdr:rowOff>
              </to>
            </anchor>
          </controlPr>
        </control>
      </mc:Choice>
      <mc:Fallback>
        <control shapeId="9239" r:id="rId19" name="TextBox11"/>
      </mc:Fallback>
    </mc:AlternateContent>
    <mc:AlternateContent xmlns:mc="http://schemas.openxmlformats.org/markup-compatibility/2006">
      <mc:Choice Requires="x14">
        <control shapeId="9238" r:id="rId20" name="TextBox10">
          <controlPr defaultSize="0" autoLine="0" r:id="rId5">
            <anchor moveWithCells="1">
              <from>
                <xdr:col>3</xdr:col>
                <xdr:colOff>76200</xdr:colOff>
                <xdr:row>24</xdr:row>
                <xdr:rowOff>38100</xdr:rowOff>
              </from>
              <to>
                <xdr:col>7</xdr:col>
                <xdr:colOff>590550</xdr:colOff>
                <xdr:row>25</xdr:row>
                <xdr:rowOff>133350</xdr:rowOff>
              </to>
            </anchor>
          </controlPr>
        </control>
      </mc:Choice>
      <mc:Fallback>
        <control shapeId="9238" r:id="rId20" name="TextBox10"/>
      </mc:Fallback>
    </mc:AlternateContent>
    <mc:AlternateContent xmlns:mc="http://schemas.openxmlformats.org/markup-compatibility/2006">
      <mc:Choice Requires="x14">
        <control shapeId="9236" r:id="rId21" name="TextBox9">
          <controlPr defaultSize="0" autoLine="0" r:id="rId5">
            <anchor moveWithCells="1">
              <from>
                <xdr:col>3</xdr:col>
                <xdr:colOff>76200</xdr:colOff>
                <xdr:row>19</xdr:row>
                <xdr:rowOff>38100</xdr:rowOff>
              </from>
              <to>
                <xdr:col>7</xdr:col>
                <xdr:colOff>590550</xdr:colOff>
                <xdr:row>20</xdr:row>
                <xdr:rowOff>133350</xdr:rowOff>
              </to>
            </anchor>
          </controlPr>
        </control>
      </mc:Choice>
      <mc:Fallback>
        <control shapeId="9236" r:id="rId21" name="TextBox9"/>
      </mc:Fallback>
    </mc:AlternateContent>
    <mc:AlternateContent xmlns:mc="http://schemas.openxmlformats.org/markup-compatibility/2006">
      <mc:Choice Requires="x14">
        <control shapeId="9233" r:id="rId22" name="TextBox8">
          <controlPr defaultSize="0" autoLine="0" r:id="rId5">
            <anchor moveWithCells="1">
              <from>
                <xdr:col>3</xdr:col>
                <xdr:colOff>76200</xdr:colOff>
                <xdr:row>17</xdr:row>
                <xdr:rowOff>47625</xdr:rowOff>
              </from>
              <to>
                <xdr:col>7</xdr:col>
                <xdr:colOff>590550</xdr:colOff>
                <xdr:row>18</xdr:row>
                <xdr:rowOff>142875</xdr:rowOff>
              </to>
            </anchor>
          </controlPr>
        </control>
      </mc:Choice>
      <mc:Fallback>
        <control shapeId="9233" r:id="rId22" name="TextBox8"/>
      </mc:Fallback>
    </mc:AlternateContent>
    <mc:AlternateContent xmlns:mc="http://schemas.openxmlformats.org/markup-compatibility/2006">
      <mc:Choice Requires="x14">
        <control shapeId="9231" r:id="rId23" name="TextBox7">
          <controlPr defaultSize="0" autoLine="0" r:id="rId5">
            <anchor moveWithCells="1">
              <from>
                <xdr:col>3</xdr:col>
                <xdr:colOff>76200</xdr:colOff>
                <xdr:row>15</xdr:row>
                <xdr:rowOff>47625</xdr:rowOff>
              </from>
              <to>
                <xdr:col>7</xdr:col>
                <xdr:colOff>590550</xdr:colOff>
                <xdr:row>16</xdr:row>
                <xdr:rowOff>142875</xdr:rowOff>
              </to>
            </anchor>
          </controlPr>
        </control>
      </mc:Choice>
      <mc:Fallback>
        <control shapeId="9231" r:id="rId23" name="TextBox7"/>
      </mc:Fallback>
    </mc:AlternateContent>
    <mc:AlternateContent xmlns:mc="http://schemas.openxmlformats.org/markup-compatibility/2006">
      <mc:Choice Requires="x14">
        <control shapeId="9229" r:id="rId24" name="TextBox5">
          <controlPr defaultSize="0" autoLine="0" r:id="rId5">
            <anchor moveWithCells="1">
              <from>
                <xdr:col>3</xdr:col>
                <xdr:colOff>76200</xdr:colOff>
                <xdr:row>10</xdr:row>
                <xdr:rowOff>47625</xdr:rowOff>
              </from>
              <to>
                <xdr:col>7</xdr:col>
                <xdr:colOff>590550</xdr:colOff>
                <xdr:row>11</xdr:row>
                <xdr:rowOff>142875</xdr:rowOff>
              </to>
            </anchor>
          </controlPr>
        </control>
      </mc:Choice>
      <mc:Fallback>
        <control shapeId="9229" r:id="rId24" name="TextBox5"/>
      </mc:Fallback>
    </mc:AlternateContent>
    <mc:AlternateContent xmlns:mc="http://schemas.openxmlformats.org/markup-compatibility/2006">
      <mc:Choice Requires="x14">
        <control shapeId="9228" r:id="rId25" name="TextBox4">
          <controlPr defaultSize="0" autoLine="0" r:id="rId5">
            <anchor moveWithCells="1">
              <from>
                <xdr:col>3</xdr:col>
                <xdr:colOff>76200</xdr:colOff>
                <xdr:row>8</xdr:row>
                <xdr:rowOff>47625</xdr:rowOff>
              </from>
              <to>
                <xdr:col>7</xdr:col>
                <xdr:colOff>590550</xdr:colOff>
                <xdr:row>9</xdr:row>
                <xdr:rowOff>142875</xdr:rowOff>
              </to>
            </anchor>
          </controlPr>
        </control>
      </mc:Choice>
      <mc:Fallback>
        <control shapeId="9228" r:id="rId25" name="TextBox4"/>
      </mc:Fallback>
    </mc:AlternateContent>
    <mc:AlternateContent xmlns:mc="http://schemas.openxmlformats.org/markup-compatibility/2006">
      <mc:Choice Requires="x14">
        <control shapeId="9227" r:id="rId26" name="TextBox3">
          <controlPr defaultSize="0" autoLine="0" r:id="rId5">
            <anchor moveWithCells="1">
              <from>
                <xdr:col>3</xdr:col>
                <xdr:colOff>76200</xdr:colOff>
                <xdr:row>6</xdr:row>
                <xdr:rowOff>47625</xdr:rowOff>
              </from>
              <to>
                <xdr:col>7</xdr:col>
                <xdr:colOff>590550</xdr:colOff>
                <xdr:row>7</xdr:row>
                <xdr:rowOff>142875</xdr:rowOff>
              </to>
            </anchor>
          </controlPr>
        </control>
      </mc:Choice>
      <mc:Fallback>
        <control shapeId="9227" r:id="rId26" name="TextBox3"/>
      </mc:Fallback>
    </mc:AlternateContent>
    <mc:AlternateContent xmlns:mc="http://schemas.openxmlformats.org/markup-compatibility/2006">
      <mc:Choice Requires="x14">
        <control shapeId="9226" r:id="rId27" name="TextBox1">
          <controlPr defaultSize="0" autoLine="0" r:id="rId5">
            <anchor moveWithCells="1">
              <from>
                <xdr:col>3</xdr:col>
                <xdr:colOff>76200</xdr:colOff>
                <xdr:row>2</xdr:row>
                <xdr:rowOff>47625</xdr:rowOff>
              </from>
              <to>
                <xdr:col>7</xdr:col>
                <xdr:colOff>590550</xdr:colOff>
                <xdr:row>3</xdr:row>
                <xdr:rowOff>142875</xdr:rowOff>
              </to>
            </anchor>
          </controlPr>
        </control>
      </mc:Choice>
      <mc:Fallback>
        <control shapeId="9226" r:id="rId27" name="TextBox1"/>
      </mc:Fallback>
    </mc:AlternateContent>
    <mc:AlternateContent xmlns:mc="http://schemas.openxmlformats.org/markup-compatibility/2006">
      <mc:Choice Requires="x14">
        <control shapeId="9220" r:id="rId28" name="ClearButton">
          <controlPr defaultSize="0" autoLine="0" autoPict="0" r:id="rId29">
            <anchor moveWithCells="1">
              <from>
                <xdr:col>2</xdr:col>
                <xdr:colOff>276225</xdr:colOff>
                <xdr:row>52</xdr:row>
                <xdr:rowOff>57150</xdr:rowOff>
              </from>
              <to>
                <xdr:col>5</xdr:col>
                <xdr:colOff>342900</xdr:colOff>
                <xdr:row>53</xdr:row>
                <xdr:rowOff>180975</xdr:rowOff>
              </to>
            </anchor>
          </controlPr>
        </control>
      </mc:Choice>
      <mc:Fallback>
        <control shapeId="9220" r:id="rId28" name="ClearButton"/>
      </mc:Fallback>
    </mc:AlternateContent>
    <mc:AlternateContent xmlns:mc="http://schemas.openxmlformats.org/markup-compatibility/2006">
      <mc:Choice Requires="x14">
        <control shapeId="9219" r:id="rId30" name="TextBox17">
          <controlPr defaultSize="0" autoLine="0" r:id="rId31">
            <anchor moveWithCells="1">
              <from>
                <xdr:col>3</xdr:col>
                <xdr:colOff>76200</xdr:colOff>
                <xdr:row>47</xdr:row>
                <xdr:rowOff>47625</xdr:rowOff>
              </from>
              <to>
                <xdr:col>7</xdr:col>
                <xdr:colOff>590550</xdr:colOff>
                <xdr:row>48</xdr:row>
                <xdr:rowOff>152400</xdr:rowOff>
              </to>
            </anchor>
          </controlPr>
        </control>
      </mc:Choice>
      <mc:Fallback>
        <control shapeId="9219" r:id="rId30" name="TextBox17"/>
      </mc:Fallback>
    </mc:AlternateContent>
    <mc:AlternateContent xmlns:mc="http://schemas.openxmlformats.org/markup-compatibility/2006">
      <mc:Choice Requires="x14">
        <control shapeId="9276" r:id="rId32" name="promocodesheet">
          <controlPr defaultSize="0" autoLine="0" r:id="rId33">
            <anchor moveWithCells="1">
              <from>
                <xdr:col>0</xdr:col>
                <xdr:colOff>190500</xdr:colOff>
                <xdr:row>45</xdr:row>
                <xdr:rowOff>47625</xdr:rowOff>
              </from>
              <to>
                <xdr:col>7</xdr:col>
                <xdr:colOff>419100</xdr:colOff>
                <xdr:row>46</xdr:row>
                <xdr:rowOff>161925</xdr:rowOff>
              </to>
            </anchor>
          </controlPr>
        </control>
      </mc:Choice>
      <mc:Fallback>
        <control shapeId="9276" r:id="rId32" name="promocodesheet"/>
      </mc:Fallback>
    </mc:AlternateContent>
    <mc:AlternateContent xmlns:mc="http://schemas.openxmlformats.org/markup-compatibility/2006">
      <mc:Choice Requires="x14">
        <control shapeId="9217" r:id="rId34" name="Option Button 1">
          <controlPr defaultSize="0" autoFill="0" autoLine="0" autoPict="0" macro="[0]!Sheet7.UPDATEFRAMES">
            <anchor moveWithCells="1">
              <from>
                <xdr:col>3</xdr:col>
                <xdr:colOff>38100</xdr:colOff>
                <xdr:row>31</xdr:row>
                <xdr:rowOff>47625</xdr:rowOff>
              </from>
              <to>
                <xdr:col>4</xdr:col>
                <xdr:colOff>571500</xdr:colOff>
                <xdr:row>32</xdr:row>
                <xdr:rowOff>152400</xdr:rowOff>
              </to>
            </anchor>
          </controlPr>
        </control>
      </mc:Choice>
    </mc:AlternateContent>
    <mc:AlternateContent xmlns:mc="http://schemas.openxmlformats.org/markup-compatibility/2006">
      <mc:Choice Requires="x14">
        <control shapeId="9218" r:id="rId35" name="Option Button 2">
          <controlPr defaultSize="0" autoFill="0" autoLine="0" autoPict="0" macro="[0]!Sheet7.UPDATEFRAMES">
            <anchor moveWithCells="1">
              <from>
                <xdr:col>6</xdr:col>
                <xdr:colOff>38100</xdr:colOff>
                <xdr:row>31</xdr:row>
                <xdr:rowOff>47625</xdr:rowOff>
              </from>
              <to>
                <xdr:col>7</xdr:col>
                <xdr:colOff>571500</xdr:colOff>
                <xdr:row>32</xdr:row>
                <xdr:rowOff>152400</xdr:rowOff>
              </to>
            </anchor>
          </controlPr>
        </control>
      </mc:Choice>
    </mc:AlternateContent>
    <mc:AlternateContent xmlns:mc="http://schemas.openxmlformats.org/markup-compatibility/2006">
      <mc:Choice Requires="x14">
        <control shapeId="9222" r:id="rId36" name="Group Box 6">
          <controlPr defaultSize="0" autoFill="0" autoPict="0">
            <anchor moveWithCells="1">
              <from>
                <xdr:col>3</xdr:col>
                <xdr:colOff>9525</xdr:colOff>
                <xdr:row>31</xdr:row>
                <xdr:rowOff>9525</xdr:rowOff>
              </from>
              <to>
                <xdr:col>8</xdr:col>
                <xdr:colOff>9525</xdr:colOff>
                <xdr:row>33</xdr:row>
                <xdr:rowOff>0</xdr:rowOff>
              </to>
            </anchor>
          </controlPr>
        </control>
      </mc:Choice>
    </mc:AlternateContent>
    <mc:AlternateContent xmlns:mc="http://schemas.openxmlformats.org/markup-compatibility/2006">
      <mc:Choice Requires="x14">
        <control shapeId="9223" r:id="rId37" name="Option Button 7">
          <controlPr defaultSize="0" autoFill="0" autoLine="0" autoPict="0" macro="[0]!Sheet7.UPDATEFRAMES">
            <anchor moveWithCells="1">
              <from>
                <xdr:col>2</xdr:col>
                <xdr:colOff>19050</xdr:colOff>
                <xdr:row>26</xdr:row>
                <xdr:rowOff>9525</xdr:rowOff>
              </from>
              <to>
                <xdr:col>3</xdr:col>
                <xdr:colOff>590550</xdr:colOff>
                <xdr:row>27</xdr:row>
                <xdr:rowOff>180975</xdr:rowOff>
              </to>
            </anchor>
          </controlPr>
        </control>
      </mc:Choice>
    </mc:AlternateContent>
    <mc:AlternateContent xmlns:mc="http://schemas.openxmlformats.org/markup-compatibility/2006">
      <mc:Choice Requires="x14">
        <control shapeId="9224" r:id="rId38" name="Option Button 8">
          <controlPr defaultSize="0" autoFill="0" autoLine="0" autoPict="0" macro="[0]!Sheet7.UPDATEFRAMES">
            <anchor moveWithCells="1">
              <from>
                <xdr:col>4</xdr:col>
                <xdr:colOff>19050</xdr:colOff>
                <xdr:row>26</xdr:row>
                <xdr:rowOff>9525</xdr:rowOff>
              </from>
              <to>
                <xdr:col>5</xdr:col>
                <xdr:colOff>600075</xdr:colOff>
                <xdr:row>27</xdr:row>
                <xdr:rowOff>180975</xdr:rowOff>
              </to>
            </anchor>
          </controlPr>
        </control>
      </mc:Choice>
    </mc:AlternateContent>
    <mc:AlternateContent xmlns:mc="http://schemas.openxmlformats.org/markup-compatibility/2006">
      <mc:Choice Requires="x14">
        <control shapeId="9225" r:id="rId39" name="Option Button 9">
          <controlPr defaultSize="0" autoFill="0" autoLine="0" autoPict="0" macro="[0]!Sheet7.UPDATEFRAMES">
            <anchor moveWithCells="1">
              <from>
                <xdr:col>6</xdr:col>
                <xdr:colOff>19050</xdr:colOff>
                <xdr:row>26</xdr:row>
                <xdr:rowOff>9525</xdr:rowOff>
              </from>
              <to>
                <xdr:col>8</xdr:col>
                <xdr:colOff>0</xdr:colOff>
                <xdr:row>27</xdr:row>
                <xdr:rowOff>180975</xdr:rowOff>
              </to>
            </anchor>
          </controlPr>
        </control>
      </mc:Choice>
    </mc:AlternateContent>
    <mc:AlternateContent xmlns:mc="http://schemas.openxmlformats.org/markup-compatibility/2006">
      <mc:Choice Requires="x14">
        <control shapeId="9256" r:id="rId40" name="Option Button 40">
          <controlPr defaultSize="0" autoFill="0" autoLine="0" autoPict="0" macro="[0]!Sheet7.UPDATEFRAMES">
            <anchor moveWithCells="1">
              <from>
                <xdr:col>3</xdr:col>
                <xdr:colOff>38100</xdr:colOff>
                <xdr:row>36</xdr:row>
                <xdr:rowOff>47625</xdr:rowOff>
              </from>
              <to>
                <xdr:col>4</xdr:col>
                <xdr:colOff>571500</xdr:colOff>
                <xdr:row>37</xdr:row>
                <xdr:rowOff>152400</xdr:rowOff>
              </to>
            </anchor>
          </controlPr>
        </control>
      </mc:Choice>
    </mc:AlternateContent>
    <mc:AlternateContent xmlns:mc="http://schemas.openxmlformats.org/markup-compatibility/2006">
      <mc:Choice Requires="x14">
        <control shapeId="9257" r:id="rId41" name="Option Button 41">
          <controlPr defaultSize="0" autoFill="0" autoLine="0" autoPict="0" macro="[0]!Sheet7.UPDATEFRAMES">
            <anchor moveWithCells="1">
              <from>
                <xdr:col>6</xdr:col>
                <xdr:colOff>38100</xdr:colOff>
                <xdr:row>36</xdr:row>
                <xdr:rowOff>47625</xdr:rowOff>
              </from>
              <to>
                <xdr:col>7</xdr:col>
                <xdr:colOff>571500</xdr:colOff>
                <xdr:row>37</xdr:row>
                <xdr:rowOff>152400</xdr:rowOff>
              </to>
            </anchor>
          </controlPr>
        </control>
      </mc:Choice>
    </mc:AlternateContent>
    <mc:AlternateContent xmlns:mc="http://schemas.openxmlformats.org/markup-compatibility/2006">
      <mc:Choice Requires="x14">
        <control shapeId="9258" r:id="rId42" name="Group Box 42">
          <controlPr defaultSize="0" autoFill="0" autoPict="0">
            <anchor moveWithCells="1">
              <from>
                <xdr:col>3</xdr:col>
                <xdr:colOff>9525</xdr:colOff>
                <xdr:row>39</xdr:row>
                <xdr:rowOff>9525</xdr:rowOff>
              </from>
              <to>
                <xdr:col>8</xdr:col>
                <xdr:colOff>9525</xdr:colOff>
                <xdr:row>41</xdr:row>
                <xdr:rowOff>0</xdr:rowOff>
              </to>
            </anchor>
          </controlPr>
        </control>
      </mc:Choice>
    </mc:AlternateContent>
    <mc:AlternateContent xmlns:mc="http://schemas.openxmlformats.org/markup-compatibility/2006">
      <mc:Choice Requires="x14">
        <control shapeId="9269" r:id="rId43" name="Group Box 53">
          <controlPr defaultSize="0" autoFill="0" autoPict="0" altText="">
            <anchor moveWithCells="1">
              <from>
                <xdr:col>9</xdr:col>
                <xdr:colOff>9525</xdr:colOff>
                <xdr:row>15</xdr:row>
                <xdr:rowOff>0</xdr:rowOff>
              </from>
              <to>
                <xdr:col>11</xdr:col>
                <xdr:colOff>0</xdr:colOff>
                <xdr:row>20</xdr:row>
                <xdr:rowOff>9525</xdr:rowOff>
              </to>
            </anchor>
          </controlPr>
        </control>
      </mc:Choice>
    </mc:AlternateContent>
    <mc:AlternateContent xmlns:mc="http://schemas.openxmlformats.org/markup-compatibility/2006">
      <mc:Choice Requires="x14">
        <control shapeId="9270" r:id="rId44" name="Option Button 54">
          <controlPr locked="0" defaultSize="0" autoFill="0" autoLine="0" autoPict="0">
            <anchor moveWithCells="1">
              <from>
                <xdr:col>9</xdr:col>
                <xdr:colOff>28575</xdr:colOff>
                <xdr:row>15</xdr:row>
                <xdr:rowOff>19050</xdr:rowOff>
              </from>
              <to>
                <xdr:col>10</xdr:col>
                <xdr:colOff>600075</xdr:colOff>
                <xdr:row>15</xdr:row>
                <xdr:rowOff>171450</xdr:rowOff>
              </to>
            </anchor>
          </controlPr>
        </control>
      </mc:Choice>
    </mc:AlternateContent>
    <mc:AlternateContent xmlns:mc="http://schemas.openxmlformats.org/markup-compatibility/2006">
      <mc:Choice Requires="x14">
        <control shapeId="9271" r:id="rId45" name="Option Button 55">
          <controlPr locked="0" defaultSize="0" autoFill="0" autoLine="0" autoPict="0">
            <anchor moveWithCells="1">
              <from>
                <xdr:col>9</xdr:col>
                <xdr:colOff>28575</xdr:colOff>
                <xdr:row>16</xdr:row>
                <xdr:rowOff>9525</xdr:rowOff>
              </from>
              <to>
                <xdr:col>10</xdr:col>
                <xdr:colOff>600075</xdr:colOff>
                <xdr:row>16</xdr:row>
                <xdr:rowOff>161925</xdr:rowOff>
              </to>
            </anchor>
          </controlPr>
        </control>
      </mc:Choice>
    </mc:AlternateContent>
    <mc:AlternateContent xmlns:mc="http://schemas.openxmlformats.org/markup-compatibility/2006">
      <mc:Choice Requires="x14">
        <control shapeId="9272" r:id="rId46" name="Option Button 56">
          <controlPr locked="0" defaultSize="0" autoFill="0" autoLine="0" autoPict="0">
            <anchor moveWithCells="1">
              <from>
                <xdr:col>9</xdr:col>
                <xdr:colOff>28575</xdr:colOff>
                <xdr:row>17</xdr:row>
                <xdr:rowOff>19050</xdr:rowOff>
              </from>
              <to>
                <xdr:col>10</xdr:col>
                <xdr:colOff>600075</xdr:colOff>
                <xdr:row>17</xdr:row>
                <xdr:rowOff>171450</xdr:rowOff>
              </to>
            </anchor>
          </controlPr>
        </control>
      </mc:Choice>
    </mc:AlternateContent>
    <mc:AlternateContent xmlns:mc="http://schemas.openxmlformats.org/markup-compatibility/2006">
      <mc:Choice Requires="x14">
        <control shapeId="9273" r:id="rId47" name="Option Button 57">
          <controlPr locked="0" defaultSize="0" autoFill="0" autoLine="0" autoPict="0">
            <anchor moveWithCells="1">
              <from>
                <xdr:col>9</xdr:col>
                <xdr:colOff>28575</xdr:colOff>
                <xdr:row>18</xdr:row>
                <xdr:rowOff>19050</xdr:rowOff>
              </from>
              <to>
                <xdr:col>10</xdr:col>
                <xdr:colOff>600075</xdr:colOff>
                <xdr:row>18</xdr:row>
                <xdr:rowOff>171450</xdr:rowOff>
              </to>
            </anchor>
          </controlPr>
        </control>
      </mc:Choice>
    </mc:AlternateContent>
    <mc:AlternateContent xmlns:mc="http://schemas.openxmlformats.org/markup-compatibility/2006">
      <mc:Choice Requires="x14">
        <control shapeId="9274" r:id="rId48" name="Option Button 58">
          <controlPr locked="0" defaultSize="0" autoFill="0" autoLine="0" autoPict="0">
            <anchor moveWithCells="1">
              <from>
                <xdr:col>9</xdr:col>
                <xdr:colOff>28575</xdr:colOff>
                <xdr:row>19</xdr:row>
                <xdr:rowOff>19050</xdr:rowOff>
              </from>
              <to>
                <xdr:col>10</xdr:col>
                <xdr:colOff>600075</xdr:colOff>
                <xdr:row>19</xdr:row>
                <xdr:rowOff>171450</xdr:rowOff>
              </to>
            </anchor>
          </controlPr>
        </control>
      </mc:Choice>
    </mc:AlternateContent>
    <mc:AlternateContent xmlns:mc="http://schemas.openxmlformats.org/markup-compatibility/2006">
      <mc:Choice Requires="x14">
        <control shapeId="9275" r:id="rId49" name="Group Box 59">
          <controlPr defaultSize="0" autoFill="0" autoPict="0">
            <anchor moveWithCells="1">
              <from>
                <xdr:col>3</xdr:col>
                <xdr:colOff>9525</xdr:colOff>
                <xdr:row>44</xdr:row>
                <xdr:rowOff>9525</xdr:rowOff>
              </from>
              <to>
                <xdr:col>8</xdr:col>
                <xdr:colOff>9525</xdr:colOff>
                <xdr:row>46</xdr:row>
                <xdr:rowOff>0</xdr:rowOff>
              </to>
            </anchor>
          </controlPr>
        </control>
      </mc:Choice>
    </mc:AlternateContent>
    <mc:AlternateContent xmlns:mc="http://schemas.openxmlformats.org/markup-compatibility/2006">
      <mc:Choice Requires="x14">
        <control shapeId="9279" r:id="rId50" name="Group Box 63">
          <controlPr defaultSize="0" autoFill="0" autoPict="0">
            <anchor moveWithCells="1">
              <from>
                <xdr:col>2</xdr:col>
                <xdr:colOff>0</xdr:colOff>
                <xdr:row>26</xdr:row>
                <xdr:rowOff>0</xdr:rowOff>
              </from>
              <to>
                <xdr:col>8</xdr:col>
                <xdr:colOff>219075</xdr:colOff>
                <xdr:row>28</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id="{EEB86A0D-EB9A-4EFF-ABF0-9A986C510B81}">
            <xm:f>'MAIN - FRAMES'!$A$15=0</xm:f>
            <x14:dxf>
              <border>
                <left style="dashed">
                  <color rgb="FFFF0000"/>
                </left>
                <right style="dashed">
                  <color rgb="FFFF0000"/>
                </right>
                <top style="dashed">
                  <color rgb="FFFF0000"/>
                </top>
                <bottom style="dashed">
                  <color rgb="FFFF0000"/>
                </bottom>
                <vertical/>
                <horizontal/>
              </border>
            </x14:dxf>
          </x14:cfRule>
          <xm:sqref>A27:H28</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64B57-758E-48D1-ACAC-F51BE70B431F}">
  <sheetPr codeName="Sheet7">
    <tabColor rgb="FFFF0000"/>
  </sheetPr>
  <dimension ref="A1:N57"/>
  <sheetViews>
    <sheetView zoomScale="70" zoomScaleNormal="70" workbookViewId="0">
      <selection activeCell="I18" sqref="I18"/>
    </sheetView>
  </sheetViews>
  <sheetFormatPr defaultRowHeight="15" x14ac:dyDescent="0.25"/>
  <cols>
    <col min="1" max="1" width="26.140625" style="1" customWidth="1"/>
    <col min="2" max="2" width="21.42578125" style="1" customWidth="1"/>
    <col min="3" max="3" width="15.7109375" style="13" customWidth="1"/>
    <col min="4" max="4" width="9.28515625" style="1" customWidth="1"/>
    <col min="5" max="5" width="15.7109375" style="1" customWidth="1"/>
    <col min="6" max="6" width="19.28515625" style="1" customWidth="1"/>
    <col min="7" max="13" width="15.7109375" style="1" customWidth="1"/>
    <col min="14" max="16384" width="9.140625" style="1"/>
  </cols>
  <sheetData>
    <row r="1" spans="1:12" ht="15" customHeight="1" x14ac:dyDescent="0.25">
      <c r="A1" s="61" t="s">
        <v>138</v>
      </c>
      <c r="B1" s="61"/>
      <c r="C1" s="1"/>
    </row>
    <row r="2" spans="1:12" ht="15" customHeight="1" x14ac:dyDescent="0.25">
      <c r="A2" s="61"/>
      <c r="B2" s="61"/>
      <c r="C2" s="1"/>
      <c r="E2" s="132" t="s">
        <v>121</v>
      </c>
      <c r="F2" s="132" t="s">
        <v>122</v>
      </c>
      <c r="G2" s="132" t="s">
        <v>123</v>
      </c>
      <c r="H2" s="132" t="s">
        <v>130</v>
      </c>
      <c r="I2" s="132" t="s">
        <v>131</v>
      </c>
      <c r="J2" s="132" t="s">
        <v>132</v>
      </c>
      <c r="K2" s="132" t="s">
        <v>129</v>
      </c>
      <c r="L2" s="114" t="s">
        <v>127</v>
      </c>
    </row>
    <row r="3" spans="1:12" ht="15" customHeight="1" x14ac:dyDescent="0.25">
      <c r="A3" s="62" t="s">
        <v>6</v>
      </c>
      <c r="B3" s="63"/>
      <c r="C3" s="1"/>
      <c r="E3" s="126">
        <f ca="1">TODAY()</f>
        <v>43823</v>
      </c>
      <c r="F3" s="127" t="s">
        <v>128</v>
      </c>
      <c r="G3" s="127" t="s">
        <v>128</v>
      </c>
      <c r="H3" s="128" t="str">
        <f>B17</f>
        <v>$0.00</v>
      </c>
      <c r="I3" s="114">
        <f>B6</f>
        <v>0</v>
      </c>
      <c r="J3" s="114">
        <f>B8</f>
        <v>0</v>
      </c>
      <c r="K3" s="114"/>
      <c r="L3" s="114">
        <f>B4</f>
        <v>0</v>
      </c>
    </row>
    <row r="4" spans="1:12" ht="15.75" customHeight="1" x14ac:dyDescent="0.25">
      <c r="A4" s="62" t="s">
        <v>4</v>
      </c>
      <c r="B4" s="64"/>
      <c r="C4" s="1"/>
    </row>
    <row r="5" spans="1:12" x14ac:dyDescent="0.25">
      <c r="A5" s="62" t="s">
        <v>23</v>
      </c>
      <c r="B5" s="65"/>
      <c r="C5" s="1"/>
      <c r="G5" s="66"/>
    </row>
    <row r="6" spans="1:12" x14ac:dyDescent="0.25">
      <c r="A6" s="62" t="s">
        <v>74</v>
      </c>
      <c r="B6" s="67"/>
      <c r="C6" s="1"/>
      <c r="G6" s="66"/>
      <c r="I6" s="288" t="s">
        <v>160</v>
      </c>
      <c r="J6" s="288"/>
    </row>
    <row r="7" spans="1:12" x14ac:dyDescent="0.25">
      <c r="A7" s="62" t="s">
        <v>75</v>
      </c>
      <c r="B7" s="67"/>
      <c r="C7" s="1"/>
      <c r="F7" s="68" t="s">
        <v>76</v>
      </c>
      <c r="G7" s="69">
        <f>C16</f>
        <v>0</v>
      </c>
      <c r="I7" s="289">
        <f>G7</f>
        <v>0</v>
      </c>
      <c r="J7" s="288" t="s">
        <v>159</v>
      </c>
    </row>
    <row r="8" spans="1:12" ht="15" customHeight="1" x14ac:dyDescent="0.25">
      <c r="A8" s="70" t="s">
        <v>26</v>
      </c>
      <c r="B8" s="71"/>
      <c r="C8" s="1"/>
      <c r="F8" s="68" t="s">
        <v>77</v>
      </c>
      <c r="G8" s="72">
        <f>B12</f>
        <v>0</v>
      </c>
      <c r="I8" s="289">
        <f>G9</f>
        <v>0</v>
      </c>
      <c r="J8" s="288" t="s">
        <v>79</v>
      </c>
    </row>
    <row r="9" spans="1:12" ht="15" customHeight="1" x14ac:dyDescent="0.25">
      <c r="A9" s="62" t="s">
        <v>78</v>
      </c>
      <c r="B9" s="73"/>
      <c r="C9" s="1"/>
      <c r="F9" s="68" t="s">
        <v>79</v>
      </c>
      <c r="G9" s="66">
        <f>IF(B18,B19,0)</f>
        <v>0</v>
      </c>
      <c r="I9" s="289">
        <f>I7-I8</f>
        <v>0</v>
      </c>
      <c r="J9" s="288" t="s">
        <v>161</v>
      </c>
    </row>
    <row r="10" spans="1:12" ht="15" customHeight="1" x14ac:dyDescent="0.25">
      <c r="A10" s="62" t="s">
        <v>2</v>
      </c>
      <c r="B10" s="73"/>
      <c r="C10" s="1"/>
      <c r="F10" s="56" t="s">
        <v>80</v>
      </c>
      <c r="G10" s="72" t="b">
        <f>IF(G7-IF(G8&lt;G9,G9,G8)&lt;=0,FALSE,G7-IF(G8&lt;G9,G9,G8))</f>
        <v>0</v>
      </c>
      <c r="I10" s="290">
        <f>I9*0.8</f>
        <v>0</v>
      </c>
      <c r="J10" s="291" t="s">
        <v>162</v>
      </c>
    </row>
    <row r="11" spans="1:12" ht="15" customHeight="1" x14ac:dyDescent="0.25">
      <c r="A11" s="62" t="s">
        <v>3</v>
      </c>
      <c r="B11" s="73"/>
      <c r="C11" s="1"/>
      <c r="I11" s="290"/>
      <c r="J11" s="288"/>
    </row>
    <row r="12" spans="1:12" ht="15.75" customHeight="1" x14ac:dyDescent="0.25">
      <c r="A12" s="74" t="s">
        <v>35</v>
      </c>
      <c r="B12" s="75">
        <f>B9+B10+B11</f>
        <v>0</v>
      </c>
      <c r="C12" s="1"/>
      <c r="G12" s="72"/>
      <c r="I12" s="289">
        <f>G8</f>
        <v>0</v>
      </c>
      <c r="J12" s="291" t="s">
        <v>163</v>
      </c>
    </row>
    <row r="13" spans="1:12" x14ac:dyDescent="0.25">
      <c r="A13" s="76" t="s">
        <v>12</v>
      </c>
      <c r="B13" s="77"/>
      <c r="C13" s="1"/>
      <c r="I13" s="289">
        <f>I8</f>
        <v>0</v>
      </c>
      <c r="J13" s="291" t="s">
        <v>79</v>
      </c>
    </row>
    <row r="14" spans="1:12" x14ac:dyDescent="0.25">
      <c r="A14" s="62" t="s">
        <v>81</v>
      </c>
      <c r="B14" s="73"/>
      <c r="C14" s="1"/>
      <c r="I14" s="289">
        <f>I12-I13</f>
        <v>0</v>
      </c>
      <c r="J14" s="291" t="s">
        <v>164</v>
      </c>
    </row>
    <row r="15" spans="1:12" x14ac:dyDescent="0.25">
      <c r="A15" s="77"/>
      <c r="B15" s="73">
        <f>IF(A15=1,59,IF(A15=2,99,0))</f>
        <v>0</v>
      </c>
      <c r="C15" s="1"/>
      <c r="E15" s="72"/>
      <c r="F15" s="72"/>
      <c r="G15" s="72"/>
      <c r="I15" s="292">
        <f>I14*0.8</f>
        <v>0</v>
      </c>
      <c r="J15" s="288"/>
    </row>
    <row r="16" spans="1:12" x14ac:dyDescent="0.25">
      <c r="A16" s="74" t="s">
        <v>14</v>
      </c>
      <c r="B16" s="75">
        <f>IF(C19="YES",G7,C16)</f>
        <v>0</v>
      </c>
      <c r="C16" s="1">
        <f>IF(B14="",0,B14-B15)</f>
        <v>0</v>
      </c>
      <c r="E16" s="1" t="str">
        <f>IF(B20="FALSE",F16,B17)</f>
        <v>$0.00</v>
      </c>
      <c r="G16" s="72"/>
      <c r="I16" s="288"/>
      <c r="J16" s="288"/>
    </row>
    <row r="17" spans="1:14" x14ac:dyDescent="0.25">
      <c r="A17" s="70" t="s">
        <v>82</v>
      </c>
      <c r="B17" s="78" t="str">
        <f>DOLLAR(G7-G8)</f>
        <v>$0.00</v>
      </c>
      <c r="C17" s="1"/>
      <c r="I17" s="293">
        <f>I10-I15</f>
        <v>0</v>
      </c>
      <c r="J17" s="291" t="s">
        <v>165</v>
      </c>
    </row>
    <row r="18" spans="1:14" x14ac:dyDescent="0.25">
      <c r="A18" s="62" t="s">
        <v>34</v>
      </c>
      <c r="B18" s="79" t="b">
        <f>IF(FRAMES!F32=1,TRUE,FALSE)</f>
        <v>0</v>
      </c>
      <c r="I18" s="39"/>
    </row>
    <row r="19" spans="1:14" x14ac:dyDescent="0.25">
      <c r="A19" s="62" t="s">
        <v>83</v>
      </c>
      <c r="B19" s="80"/>
      <c r="C19" s="1"/>
    </row>
    <row r="20" spans="1:14" x14ac:dyDescent="0.25">
      <c r="A20" s="62" t="s">
        <v>114</v>
      </c>
      <c r="B20" s="81" t="b">
        <f>IF(FRAMES!F37=1,TRUE,FALSE)</f>
        <v>0</v>
      </c>
      <c r="C20" s="82"/>
      <c r="D20" s="43"/>
      <c r="E20" s="1" t="s">
        <v>84</v>
      </c>
      <c r="F20" s="1">
        <f>IF(G10=FALSE,0,DOLLAR(CEILING(G10,10)))</f>
        <v>0</v>
      </c>
    </row>
    <row r="21" spans="1:14" x14ac:dyDescent="0.25">
      <c r="A21" s="62" t="s">
        <v>7</v>
      </c>
      <c r="B21" s="83">
        <f>IF(A15="",0,IF(B20=FALSE,I21,IF(B18=TRUE,I17,B17)))</f>
        <v>0</v>
      </c>
      <c r="C21" s="82"/>
      <c r="E21" s="1" t="s">
        <v>85</v>
      </c>
      <c r="F21" s="1">
        <f>IF(G10=FALSE,0,DOLLAR(CEILING(G10,5)))</f>
        <v>0</v>
      </c>
      <c r="H21" s="1" t="s">
        <v>120</v>
      </c>
      <c r="I21" s="1">
        <f>IF(G10=FALSE,0,IF(G10&lt;20,DOLLAR(CEILING(G10,5)),DOLLAR(CEILING(G10,10))))</f>
        <v>0</v>
      </c>
    </row>
    <row r="22" spans="1:14" x14ac:dyDescent="0.25">
      <c r="A22" s="62" t="s">
        <v>11</v>
      </c>
      <c r="B22" s="84"/>
      <c r="C22" s="1"/>
    </row>
    <row r="23" spans="1:14" x14ac:dyDescent="0.25">
      <c r="A23" s="85"/>
      <c r="B23" s="31"/>
      <c r="C23" s="139"/>
      <c r="D23" s="139"/>
    </row>
    <row r="24" spans="1:14" ht="15" customHeight="1" x14ac:dyDescent="0.25">
      <c r="A24" s="117" t="s">
        <v>112</v>
      </c>
      <c r="B24" s="87" t="str">
        <f>"Customer Name: "&amp;B3&amp;CHAR(10)&amp;
"Customer Email: "&amp;B4&amp;CHAR(10)&amp;
"Frame: "&amp;B6&amp;CHAR(10)&amp;
"Competitor: "&amp;B8&amp;CHAR(10)&amp;
"Eyeconic price: "&amp;DOLLAR(B16)&amp;CHAR(10)&amp;
"Competitor Price: "&amp;DOLLAR(B12)&amp;CHAR(10)&amp;
"Difference: "&amp;DOLLAR(B17)&amp;CHAR(10)&amp;
"Vision Benefits: "&amp;B18&amp;IF(B18=FALSE,""," "&amp;DOLLAR(B19))&amp;CHAR(10)&amp;
"Promo Code Amount: "&amp;IF(B21="NO PRICE MATCH","",DOLLAR(B21))&amp;CHAR(10)</f>
        <v xml:space="preserve">Customer Name: 
Customer Email: 
Frame: 
Competitor: 
Eyeconic price: $0.00
Competitor Price: $0.00
Difference: $0.00
Vision Benefits: FALSE
Promo Code Amount: $0.00
</v>
      </c>
      <c r="C24" s="141"/>
      <c r="D24" s="142"/>
      <c r="E24" s="24"/>
    </row>
    <row r="25" spans="1:14" ht="15" customHeight="1" x14ac:dyDescent="0.25">
      <c r="A25" s="86" t="s">
        <v>86</v>
      </c>
      <c r="B25" s="87" t="str">
        <f>IF(G10=FALSE,"NO PRICE MATCH",_xlfn.CONCAT(B28,B31,B32,A34,IF(B20,"",B35),B38,B40))</f>
        <v>NO PRICE MATCH</v>
      </c>
      <c r="C25" s="140"/>
      <c r="D25" s="143"/>
    </row>
    <row r="26" spans="1:14" ht="15" customHeight="1" x14ac:dyDescent="0.25">
      <c r="A26" s="37"/>
      <c r="B26" s="35"/>
      <c r="C26" s="144"/>
      <c r="D26" s="143"/>
    </row>
    <row r="27" spans="1:14" ht="15" customHeight="1" x14ac:dyDescent="0.25">
      <c r="A27" s="282" t="s">
        <v>87</v>
      </c>
      <c r="B27" s="282"/>
      <c r="C27" s="282"/>
      <c r="D27" s="282"/>
    </row>
    <row r="28" spans="1:14" x14ac:dyDescent="0.25">
      <c r="A28" s="88" t="s">
        <v>88</v>
      </c>
      <c r="B28" s="283" t="str">
        <f>"Hello "&amp;IF(COUNTIF(B3,"* *"),(LEFT(B3,FIND(" ",B3)-1)),B3)&amp;","&amp;CHAR(10)&amp;CHAR(10)&amp;"Thanks for getting in touch; we're happy to help!"&amp;CHAR(10)&amp;CHAR(10)</f>
        <v xml:space="preserve">Hello ,
Thanks for getting in touch; we're happy to help!
</v>
      </c>
      <c r="C28" s="283"/>
      <c r="D28" s="89" t="s">
        <v>22</v>
      </c>
      <c r="G28" s="90" t="s">
        <v>89</v>
      </c>
      <c r="H28" s="91"/>
      <c r="I28" s="91"/>
      <c r="J28" s="91"/>
      <c r="K28" s="91"/>
      <c r="L28" s="91"/>
      <c r="M28" s="91"/>
      <c r="N28" s="91"/>
    </row>
    <row r="29" spans="1:14" x14ac:dyDescent="0.25">
      <c r="G29" s="92" t="s">
        <v>90</v>
      </c>
      <c r="H29" s="92" t="s">
        <v>91</v>
      </c>
      <c r="I29" s="92" t="s">
        <v>92</v>
      </c>
    </row>
    <row r="30" spans="1:14" x14ac:dyDescent="0.25">
      <c r="F30" s="93" t="s">
        <v>93</v>
      </c>
      <c r="G30" s="94">
        <f>B16</f>
        <v>0</v>
      </c>
      <c r="H30" s="95">
        <f>MAX(B19,B12)</f>
        <v>0</v>
      </c>
      <c r="I30" s="94">
        <f>(G30-H30)</f>
        <v>0</v>
      </c>
    </row>
    <row r="31" spans="1:14" x14ac:dyDescent="0.25">
      <c r="A31" s="88" t="s">
        <v>18</v>
      </c>
      <c r="B31" s="283" t="str">
        <f>"We received your request to participate in our Price Match Program. We are happy to report that your submission does qualify for price matching. We will be matching the price of "&amp;DOLLAR(B9)&amp;" with "&amp;B8&amp;IF(B20," and refunding the difference to you once your order has shipped.",".")&amp;" This price is only available for the "&amp;B5&amp;" "&amp;B6&amp;IF(B7="",""," in the color "&amp;B7)&amp;"."&amp;CHAR(10)&amp;CHAR(10)&amp;B41</f>
        <v xml:space="preserve">We received your request to participate in our Price Match Program. We are happy to report that your submission does qualify for price matching. We will be matching the price of $0.00 with . This price is only available for the  .
</v>
      </c>
      <c r="C31" s="283"/>
      <c r="D31" s="89" t="s">
        <v>22</v>
      </c>
      <c r="F31" s="97" t="s">
        <v>98</v>
      </c>
    </row>
    <row r="32" spans="1:14" x14ac:dyDescent="0.25">
      <c r="A32" s="88" t="s">
        <v>21</v>
      </c>
      <c r="B32" s="284" t="str">
        <f>IF(B20,"","Please use the following promo code for "&amp;DOLLAR(B21,2)&amp;" at checkout:"&amp;CHAR(10)&amp;CHAR(10)&amp;B22&amp;""&amp;CHAR(10)&amp;CHAR(10))</f>
        <v xml:space="preserve">Please use the following promo code for $0.00 at checkout:
</v>
      </c>
      <c r="C32" s="284"/>
      <c r="D32" s="89" t="s">
        <v>22</v>
      </c>
    </row>
    <row r="33" spans="1:11" x14ac:dyDescent="0.25">
      <c r="A33" s="111" t="s">
        <v>94</v>
      </c>
      <c r="B33" s="111" t="s">
        <v>95</v>
      </c>
      <c r="C33" s="110" t="str">
        <f>IF(A15=3,"","Keep in mind the price of the frame you are interested in is "&amp;DOLLAR(B16)&amp;" as the price shown of "&amp;DOLLAR(B14)&amp;" is both for the frame and the base lenses combined. ")&amp;"Please see breakdown below:"&amp;CHAR(10)&amp;CHAR(10)&amp;
DOLLAR(G30)&amp;" (Eyeconic Frame Cost) - "&amp;DOLLAR(H30)&amp;IF(G8&lt;G9," (Insurance Allowance)"," (Competitor Price)")&amp;" = "&amp;DOLLAR(I30)&amp;" (Price Match Difference)"&amp;CHAR(10)&amp;CHAR(10)&amp;
"The retail amount for the frame you are interested in is "&amp;DOLLAR(B16)&amp;". Your frame allowance covers "&amp;DOLLAR(B19)&amp;"; therefore, before price matching, you would be paying "&amp;DOLLAR((B16-B19)-((B16-B19)*0.2))&amp;CHAR(10)&amp;CHAR(10)&amp;
DOLLAR(B16)&amp;" (Eyeconic Frame Cost) - "&amp;DOLLAR(B19)&amp;" (Insurance Allowance) = "&amp;DOLLAR(B16-B19)&amp;" - "&amp;DOLLAR((B16-B19)*0.2)&amp;" (20% Savings) = "&amp;DOLLAR((B16-B19)-((B16-B19)*0.2))&amp;CHAR(10)&amp;CHAR(10)</f>
        <v xml:space="preserve">Keep in mind the price of the frame you are interested in is $0.00 as the price shown of $0.00 is both for the frame and the base lenses combined. Please see breakdown below:
$0.00 (Eyeconic Frame Cost) - $0.00 (Competitor Price) = $0.00 (Price Match Difference)
The retail amount for the frame you are interested in is $0.00. Your frame allowance covers $0.00; therefore, before price matching, you would be paying $0.00
$0.00 (Eyeconic Frame Cost) - $0.00 (Insurance Allowance) = $0.00 - $0.00 (20% Savings) = $0.00
</v>
      </c>
      <c r="D33" s="96" t="s">
        <v>96</v>
      </c>
      <c r="E33" s="97" t="s">
        <v>97</v>
      </c>
      <c r="G33" s="99" t="s">
        <v>101</v>
      </c>
      <c r="H33" s="100"/>
      <c r="I33" s="100"/>
      <c r="J33" s="100"/>
      <c r="K33" s="100"/>
    </row>
    <row r="34" spans="1:11" x14ac:dyDescent="0.25">
      <c r="A34" s="98" t="str">
        <f>IF(B18,C33,C34)</f>
        <v xml:space="preserve">Keep in mind the price of the frame you are interested in is $0.00 as the price shown of $0.00 is both for the frame and the base lenses combined. Please see breakdown below:
$0.00 (Eyeconic Frame Cost) - $0.00 (Competitor Price) = $0.00
</v>
      </c>
      <c r="B34" s="111" t="s">
        <v>99</v>
      </c>
      <c r="C34" s="62" t="str">
        <f>IF(A15=3,"","Keep in mind the price of the frame you are interested in is "&amp;DOLLAR(B16)&amp;" as the price shown of "&amp;DOLLAR(B14)&amp;" is both for the frame and the base lenses combined. ")&amp;"Please see breakdown below:"&amp;CHAR(10)&amp;CHAR(10)&amp;
DOLLAR(G7)&amp;" (Eyeconic Frame Cost) - "&amp;DOLLAR(G8)&amp;" (Competitor Price) = "&amp;DOLLAR(B17)&amp;CHAR(10)&amp;CHAR(10)</f>
        <v xml:space="preserve">Keep in mind the price of the frame you are interested in is $0.00 as the price shown of $0.00 is both for the frame and the base lenses combined. Please see breakdown below:
$0.00 (Eyeconic Frame Cost) - $0.00 (Competitor Price) = $0.00
</v>
      </c>
      <c r="D34" s="89" t="s">
        <v>22</v>
      </c>
    </row>
    <row r="35" spans="1:11" x14ac:dyDescent="0.25">
      <c r="A35" s="111" t="s">
        <v>100</v>
      </c>
      <c r="B35" s="110" t="str">
        <f>_xlfn.CONCAT("Please keep in mind this promo code is case sensitive and is valid for 30 days."&amp;IF(B18=FALSE,C37,C36)&amp;"Also, please understand that price matching is not stackable with additional offers/promotions.")&amp;CHAR(10)&amp;CHAR(10)</f>
        <v xml:space="preserve">Please keep in mind this promo code is case sensitive and is valid for 30 days. Please also keep in mind, this promo code is not meant to be used in conjunction with your vision benefits; therefore, if your vision benefits are applied, the code will not work properly.
Also, please understand that price matching is not stackable with additional offers/promotions.
</v>
      </c>
      <c r="C35" s="110"/>
      <c r="D35" s="89" t="s">
        <v>22</v>
      </c>
    </row>
    <row r="36" spans="1:11" x14ac:dyDescent="0.25">
      <c r="A36" s="111" t="s">
        <v>102</v>
      </c>
      <c r="B36" s="111" t="s">
        <v>103</v>
      </c>
      <c r="C36" s="101" t="str">
        <f>" Please also keep in mind, this promo code is meant to be used in conjunction with your vision benefits; therefore, if your vision benefits are not applied, the code will not work properly."&amp;CHAR(10)&amp;CHAR(10)</f>
        <v xml:space="preserve"> Please also keep in mind, this promo code is meant to be used in conjunction with your vision benefits; therefore, if your vision benefits are not applied, the code will not work properly.
</v>
      </c>
      <c r="D36" s="89" t="s">
        <v>22</v>
      </c>
    </row>
    <row r="37" spans="1:11" x14ac:dyDescent="0.25">
      <c r="A37" s="111"/>
      <c r="B37" s="111" t="s">
        <v>104</v>
      </c>
      <c r="C37" s="62" t="str">
        <f>" Please also keep in mind, this promo code is not meant to be used in conjunction with your vision benefits; therefore, if your vision benefits are applied, the code will not work properly."&amp;CHAR(10)&amp;CHAR(10)</f>
        <v xml:space="preserve"> Please also keep in mind, this promo code is not meant to be used in conjunction with your vision benefits; therefore, if your vision benefits are applied, the code will not work properly.
</v>
      </c>
      <c r="D37" s="89" t="s">
        <v>22</v>
      </c>
    </row>
    <row r="38" spans="1:11" x14ac:dyDescent="0.25">
      <c r="A38" s="111" t="s">
        <v>16</v>
      </c>
      <c r="B38" s="110" t="str">
        <f>"Let us know if there's anything else we can do to assist you. We’re available Monday through Friday between 6:00 a.m. and 5:00 p.m., and Saturday and Sunday between 7:00 a.m. and 5:00 p.m., Pacific Time."&amp;CHAR(10)&amp;CHAR(10)&amp;
"Thank you for using Eyeconic email services."&amp;CHAR(10)&amp;CHAR(10)&amp;CHAR(10)&amp;"Eyeconic® Customer Service"&amp;CHAR(10)&amp;"855-EYECONIC (855-393-2664)"&amp;CHAR(10)&amp;"info@eyeconic.com"&amp;CHAR(10)&amp;CHAR(10)</f>
        <v xml:space="preserve">Let us know if there's anything else we can do to assist you. We’re available Monday through Friday between 6:00 a.m. and 5:00 p.m., and Saturday and Sunday between 7:00 a.m. and 5:00 p.m., Pacific Time.
Thank you for using Eyeconic email services.
Eyeconic® Customer Service
855-EYECONIC (855-393-2664)
info@eyeconic.com
</v>
      </c>
      <c r="C38" s="110"/>
      <c r="D38" s="89" t="s">
        <v>22</v>
      </c>
    </row>
    <row r="39" spans="1:11" x14ac:dyDescent="0.25">
      <c r="A39" s="115" t="s">
        <v>109</v>
      </c>
      <c r="B39" s="1" t="str">
        <f>"Thank you for using Eyeconic email services."&amp;CHAR(10)&amp;CHAR(10)&amp;CHAR(10)&amp;"Eyeconic® Customer Service"&amp;CHAR(10)&amp;"855-EYECONIC (855-393-2664)"&amp;CHAR(10)&amp;"info@eyeconic.com"&amp;CHAR(10)&amp;CHAR(10)</f>
        <v xml:space="preserve">Thank you for using Eyeconic email services.
Eyeconic® Customer Service
855-EYECONIC (855-393-2664)
info@eyeconic.com
</v>
      </c>
    </row>
    <row r="40" spans="1:11" x14ac:dyDescent="0.25">
      <c r="A40" s="111" t="s">
        <v>158</v>
      </c>
      <c r="B40" s="110" t="s">
        <v>157</v>
      </c>
      <c r="C40" s="110"/>
      <c r="D40" s="89" t="s">
        <v>22</v>
      </c>
    </row>
    <row r="41" spans="1:11" ht="15" customHeight="1" x14ac:dyDescent="0.25">
      <c r="A41" s="115" t="s">
        <v>113</v>
      </c>
      <c r="B41" s="1" t="str">
        <f>IF(SUM(B10:B11)=0,"","Please keep in mind that "
&amp;IF(SUM(B10:B11)=0,"",B8&amp;" charges "
&amp;IF(B11="","",DOLLAR(B11,2)&amp;" for processing fees")
&amp;IF(COUNTBLANK(B10:B11),""," and ")
&amp;IF(B10="","",DOLLAR(B10,2)&amp;" for shipping fees")
&amp;" that are not applied when you purchase on Eyeconic. We include these charges when calculating your final price match.")&amp;CHAR(10)&amp;CHAR(10))</f>
        <v/>
      </c>
    </row>
    <row r="42" spans="1:11" ht="15" customHeight="1" x14ac:dyDescent="0.25">
      <c r="F42" s="139"/>
      <c r="G42" s="139"/>
    </row>
    <row r="43" spans="1:11" ht="15" customHeight="1" x14ac:dyDescent="0.25">
      <c r="A43" s="116" t="s">
        <v>110</v>
      </c>
      <c r="B43" s="116" t="str">
        <f>_xlfn.CONCAT(B28,C43,D43,E43,B39)</f>
        <v xml:space="preserve">Hello ,
Thanks for getting in touch; we're happy to help!
We received your request to participate in our Price Match Program. Unfortunately, your submission does not qualify according to our guidelines because that website is not one of the online authorized retailers outlined in our Price Match Program.
If you’ve found a lower price on your favorite frames with a qualified retailer, we’d be glad to match it. In fact, we price match tons of qualified online retailers, including the following:
1800contacts.com
Coastal.com
Costco.com (online prices only)
Discountcontactlenses.com
EZContacts.com
Framesdirect.com
Lens.com
PScontacts.com
SamsClub.com (online prices only)
Target.com/TargetOptical.com (online prices only)
Visionworks.com
Walgreens.com (online prices only)
Walmart.com (online prices only)
WarbyParker.com
WebEyeCare.com
In some circumstances, we are legally unable to price match. To see our full list of exclusions and program information, visit our site FAQ page.
We apologize for any inconvenience this may cause you.
Let us know if there's anything else we can do to assist you. We’re available Monday through Friday between 6:00 a.m. and 5:00 p.m., and Saturday and Sunday between 7:00 a.m. and 5:00 p.m., Pacific Time.
Thank you for using Eyeconic email services.
Eyeconic® Customer Service
855-EYECONIC (855-393-2664)
info@eyeconic.com
</v>
      </c>
      <c r="C43" s="113" t="str">
        <f>"We received your request to participate in our Price Match Program."&amp;" Unfortunately, your submission does not qualify according to our guidelines because that website is not one of the online authorized retailers outlined in our Price Match Program."&amp;CHAR(10)&amp;CHAR(10)</f>
        <v xml:space="preserve">We received your request to participate in our Price Match Program. Unfortunately, your submission does not qualify according to our guidelines because that website is not one of the online authorized retailers outlined in our Price Match Program.
</v>
      </c>
      <c r="D43" s="113" t="str">
        <f>"If you’ve found a lower price on your favorite frames with a qualified retailer, we’d be glad to match it. In fact, we price match tons of qualified online retailers, including the following:"&amp;CHAR(10)&amp;CHAR(10)&amp;
"1800contacts.com"&amp;CHAR(10)&amp;
"Coastal.com"&amp;CHAR(10)&amp;
"Costco.com (online prices only)"&amp;CHAR(10)&amp;
"Discountcontactlenses.com"&amp;CHAR(10)&amp;
"EZContacts.com"&amp;CHAR(10)&amp;
"Framesdirect.com"&amp;CHAR(10)&amp;
"Lens.com"&amp;CHAR(10)&amp;
"PScontacts.com"&amp;CHAR(10)&amp;
"SamsClub.com (online prices only)"&amp;CHAR(10)&amp;
"Target.com/TargetOptical.com (online prices only)"&amp;CHAR(10)&amp;
"Visionworks.com"&amp;CHAR(10)&amp;
"Walgreens.com (online prices only)"&amp;CHAR(10)&amp;
"Walmart.com (online prices only)"&amp;CHAR(10)&amp;
"WarbyParker.com"&amp;CHAR(10)&amp;
"WebEyeCare.com"&amp;CHAR(10)&amp;CHAR(10)</f>
        <v xml:space="preserve">If you’ve found a lower price on your favorite frames with a qualified retailer, we’d be glad to match it. In fact, we price match tons of qualified online retailers, including the following:
1800contacts.com
Coastal.com
Costco.com (online prices only)
Discountcontactlenses.com
EZContacts.com
Framesdirect.com
Lens.com
PScontacts.com
SamsClub.com (online prices only)
Target.com/TargetOptical.com (online prices only)
Visionworks.com
Walgreens.com (online prices only)
Walmart.com (online prices only)
WarbyParker.com
WebEyeCare.com
</v>
      </c>
      <c r="E43" s="114" t="str">
        <f>"In some circumstances, we are legally unable to price match. To see our full list of exclusions and program information, visit our site FAQ page."&amp;CHAR(10)&amp;CHAR(10)&amp;
"We apologize for any inconvenience this may cause you."&amp;CHAR(10)&amp;CHAR(10)&amp;
"Let us know if there's anything else we can do to assist you. We’re available Monday through Friday between 6:00 a.m. and 5:00 p.m., and Saturday and Sunday between 7:00 a.m. and 5:00 p.m., Pacific Time."&amp;CHAR(10)&amp;CHAR(10)</f>
        <v xml:space="preserve">In some circumstances, we are legally unable to price match. To see our full list of exclusions and program information, visit our site FAQ page.
We apologize for any inconvenience this may cause you.
Let us know if there's anything else we can do to assist you. We’re available Monday through Friday between 6:00 a.m. and 5:00 p.m., and Saturday and Sunday between 7:00 a.m. and 5:00 p.m., Pacific Time.
</v>
      </c>
      <c r="F43" s="139" t="s">
        <v>22</v>
      </c>
      <c r="G43" s="139"/>
    </row>
    <row r="44" spans="1:11" ht="15" customHeight="1" x14ac:dyDescent="0.25">
      <c r="A44" s="116" t="s">
        <v>111</v>
      </c>
      <c r="B44" s="116" t="str">
        <f>"Hello "&amp;IF(COUNTIF(B3,"* *"),(LEFT(B3,FIND(" ",B3)-1)),B3)&amp;","&amp;CHAR(10)&amp;CHAR(10)&amp;"Thanks for shopping on Eyeconic®. If you’ve found a lower price with the frame you’re interested in, we’d be glad to match it. In fact, we price match tons of qualified online retailers, including Framesdirect.com, 1800contacts.com, Coastal.com, and more."&amp;CHAR(10)&amp;CHAR(10)&amp;
"Take advantage of our Price Match Program in just two simple steps:"&amp;CHAR(10)&amp;CHAR(10)&amp;"Email the following information to info@eyeconic.com:"&amp;CHAR(10)&amp;CHAR(10)&amp;
"•   URL of the competitor website"&amp;CHAR(10)&amp;
"•   Frame model, color and size"&amp;CHAR(10)&amp;CHAR(10)&amp;
"If you will be using vision benefits with your order, please provide the following information:"&amp;CHAR(10)&amp;CHAR(10)&amp;
"•   Full name and date of birth of the primary member"&amp;CHAR(10)&amp;
"•   Last 4 digits of primary member's SSN or ID number"&amp;CHAR(10)&amp;
"•   Name and date of birth of the customer"&amp;CHAR(10)&amp;CHAR(10)&amp;
"If you are not using benefits, please advise if you plan on using the 20% savings VSP, MetLife and Cigna provide."&amp;CHAR(10)&amp;CHAR(10)&amp;
"We’ll get back to you within two business days to let you know if your purchase qualifies for our Price Match Program. Also, please understand that price matching is not stackable with additional offers/promotions."&amp;CHAR(10)&amp;CHAR(10)&amp;
"If you have further questions regarding our Price Matching Policy, we're available Monday through Friday between 6:00 a.m. and 5:00 p.m., and Saturday and Sunday between 7:00 a.m. and 5:00 p.m., Pacific Time."&amp;CHAR(10)&amp;CHAR(10)&amp;
"Eyeconic® Customer Service"&amp;CHAR(10)&amp;"855-EYECONIC (855-393-2664)"&amp;CHAR(10)&amp;"info@eyeconic.com"</f>
        <v>Hello ,
Thanks for shopping on Eyeconic®. If you’ve found a lower price with the frame you’re interested in, we’d be glad to match it. In fact, we price match tons of qualified online retailers, including Framesdirect.com, 1800contacts.com, Coastal.com, and more.
Take advantage of our Price Match Program in just two simple steps:
Email the following information to info@eyeconic.com:
•   URL of the competitor website
•   Frame model, color and size
If you will be using vision benefits with your order, please provide the following information:
•   Full name and date of birth of the primary member
•   Last 4 digits of primary member's SSN or ID number
•   Name and date of birth of the customer
If you are not using benefits, please advise if you plan on using the 20% savings VSP, MetLife and Cigna provide.
We’ll get back to you within two business days to let you know if your purchase qualifies for our Price Match Program. Also, please understand that price matching is not stackable with additional offers/promotions.
If you have further questions regarding our Price Matching Policy, we're available Monday through Friday between 6:00 a.m. and 5:00 p.m., and Saturday and Sunday between 7:00 a.m. and 5:00 p.m., Pacific Time.
Eyeconic® Customer Service
855-EYECONIC (855-393-2664)
info@eyeconic.com</v>
      </c>
      <c r="C44" s="13" t="s">
        <v>22</v>
      </c>
      <c r="F44" s="139"/>
      <c r="G44" s="139"/>
    </row>
    <row r="45" spans="1:11" ht="15" customHeight="1" x14ac:dyDescent="0.25">
      <c r="F45" s="139"/>
      <c r="G45" s="139"/>
    </row>
    <row r="46" spans="1:11" ht="15" customHeight="1" x14ac:dyDescent="0.25"/>
    <row r="47" spans="1:11" ht="15" customHeight="1" x14ac:dyDescent="0.25"/>
    <row r="55" spans="1:4" x14ac:dyDescent="0.25">
      <c r="A55" s="139"/>
      <c r="B55" s="139"/>
      <c r="C55" s="140"/>
      <c r="D55" s="139"/>
    </row>
    <row r="56" spans="1:4" x14ac:dyDescent="0.25">
      <c r="A56" s="139" t="s">
        <v>133</v>
      </c>
      <c r="B56" s="139"/>
      <c r="C56" s="140"/>
      <c r="D56" s="139"/>
    </row>
    <row r="57" spans="1:4" x14ac:dyDescent="0.25">
      <c r="A57" s="139"/>
      <c r="B57" s="139"/>
      <c r="C57" s="140"/>
      <c r="D57" s="139"/>
    </row>
  </sheetData>
  <sheetProtection formatCells="0" formatColumns="0"/>
  <mergeCells count="4">
    <mergeCell ref="A27:D27"/>
    <mergeCell ref="B28:C28"/>
    <mergeCell ref="B31:C31"/>
    <mergeCell ref="B32:C32"/>
  </mergeCells>
  <dataValidations count="1">
    <dataValidation allowBlank="1" showInputMessage="1" sqref="A22:F23 A18:B18 D18:F18 A21:B21 E21 A17:E17 A13:E13 A19:F20 A14:F16 A1:D12 E1:F1 E4:F12" xr:uid="{F500BD18-4D96-4A72-99B9-14F9978CEBC0}"/>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6" r:id="rId4" name="Testbox1">
          <controlPr defaultSize="0" autoLine="0" r:id="rId5">
            <anchor moveWithCells="1">
              <from>
                <xdr:col>2</xdr:col>
                <xdr:colOff>28575</xdr:colOff>
                <xdr:row>55</xdr:row>
                <xdr:rowOff>19050</xdr:rowOff>
              </from>
              <to>
                <xdr:col>3</xdr:col>
                <xdr:colOff>342900</xdr:colOff>
                <xdr:row>56</xdr:row>
                <xdr:rowOff>57150</xdr:rowOff>
              </to>
            </anchor>
          </controlPr>
        </control>
      </mc:Choice>
      <mc:Fallback>
        <control shapeId="10246" r:id="rId4" name="Testbox1"/>
      </mc:Fallback>
    </mc:AlternateContent>
    <mc:AlternateContent xmlns:mc="http://schemas.openxmlformats.org/markup-compatibility/2006">
      <mc:Choice Requires="x14">
        <control shapeId="10241" r:id="rId6" name="EMAIL">
          <controlPr defaultSize="0" autoLine="0" r:id="rId7">
            <anchor moveWithCells="1">
              <from>
                <xdr:col>2</xdr:col>
                <xdr:colOff>114300</xdr:colOff>
                <xdr:row>24</xdr:row>
                <xdr:rowOff>28575</xdr:rowOff>
              </from>
              <to>
                <xdr:col>3</xdr:col>
                <xdr:colOff>542925</xdr:colOff>
                <xdr:row>25</xdr:row>
                <xdr:rowOff>114300</xdr:rowOff>
              </to>
            </anchor>
          </controlPr>
        </control>
      </mc:Choice>
      <mc:Fallback>
        <control shapeId="10241" r:id="rId6" name="EMAIL"/>
      </mc:Fallback>
    </mc:AlternateContent>
    <mc:AlternateContent xmlns:mc="http://schemas.openxmlformats.org/markup-compatibility/2006">
      <mc:Choice Requires="x14">
        <control shapeId="10242" r:id="rId8" name="TextBox1">
          <controlPr defaultSize="0" autoLine="0" r:id="rId9">
            <anchor moveWithCells="1">
              <from>
                <xdr:col>5</xdr:col>
                <xdr:colOff>514350</xdr:colOff>
                <xdr:row>43</xdr:row>
                <xdr:rowOff>47625</xdr:rowOff>
              </from>
              <to>
                <xdr:col>6</xdr:col>
                <xdr:colOff>590550</xdr:colOff>
                <xdr:row>44</xdr:row>
                <xdr:rowOff>85725</xdr:rowOff>
              </to>
            </anchor>
          </controlPr>
        </control>
      </mc:Choice>
      <mc:Fallback>
        <control shapeId="10242" r:id="rId8" name="TextBox1"/>
      </mc:Fallback>
    </mc:AlternateContent>
    <mc:AlternateContent xmlns:mc="http://schemas.openxmlformats.org/markup-compatibility/2006">
      <mc:Choice Requires="x14">
        <control shapeId="10243" r:id="rId10" name="TextBox2">
          <controlPr defaultSize="0" autoLine="0" r:id="rId11">
            <anchor moveWithCells="1">
              <from>
                <xdr:col>5</xdr:col>
                <xdr:colOff>514350</xdr:colOff>
                <xdr:row>41</xdr:row>
                <xdr:rowOff>161925</xdr:rowOff>
              </from>
              <to>
                <xdr:col>6</xdr:col>
                <xdr:colOff>590550</xdr:colOff>
                <xdr:row>43</xdr:row>
                <xdr:rowOff>9525</xdr:rowOff>
              </to>
            </anchor>
          </controlPr>
        </control>
      </mc:Choice>
      <mc:Fallback>
        <control shapeId="10243" r:id="rId10" name="TextBox2"/>
      </mc:Fallback>
    </mc:AlternateContent>
    <mc:AlternateContent xmlns:mc="http://schemas.openxmlformats.org/markup-compatibility/2006">
      <mc:Choice Requires="x14">
        <control shapeId="10245" r:id="rId12" name="TextBox3">
          <controlPr defaultSize="0" autoLine="0" r:id="rId13">
            <anchor moveWithCells="1">
              <from>
                <xdr:col>2</xdr:col>
                <xdr:colOff>114300</xdr:colOff>
                <xdr:row>22</xdr:row>
                <xdr:rowOff>66675</xdr:rowOff>
              </from>
              <to>
                <xdr:col>3</xdr:col>
                <xdr:colOff>542925</xdr:colOff>
                <xdr:row>23</xdr:row>
                <xdr:rowOff>152400</xdr:rowOff>
              </to>
            </anchor>
          </controlPr>
        </control>
      </mc:Choice>
      <mc:Fallback>
        <control shapeId="10245" r:id="rId12" name="TextBox3"/>
      </mc:Fallback>
    </mc:AlternateContent>
    <mc:AlternateContent xmlns:mc="http://schemas.openxmlformats.org/markup-compatibility/2006">
      <mc:Choice Requires="x14">
        <control shapeId="10247" r:id="rId14" name="Button 7">
          <controlPr defaultSize="0" print="0" autoFill="0" autoPict="0" macro="[0]!Sheet7.UPDATEFRAMES">
            <anchor moveWithCells="1" sizeWithCells="1">
              <from>
                <xdr:col>0</xdr:col>
                <xdr:colOff>1428750</xdr:colOff>
                <xdr:row>54</xdr:row>
                <xdr:rowOff>180975</xdr:rowOff>
              </from>
              <to>
                <xdr:col>1</xdr:col>
                <xdr:colOff>1276350</xdr:colOff>
                <xdr:row>56</xdr:row>
                <xdr:rowOff>57150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0A52-D3AC-4A36-9C54-C6074CB84A22}">
  <sheetPr codeName="Sheet4"/>
  <dimension ref="A1:S13"/>
  <sheetViews>
    <sheetView showGridLines="0" showRowColHeaders="0" workbookViewId="0">
      <selection activeCell="F29" sqref="F29"/>
    </sheetView>
  </sheetViews>
  <sheetFormatPr defaultRowHeight="15" x14ac:dyDescent="0.25"/>
  <sheetData>
    <row r="1" spans="1:19" ht="28.5" customHeight="1" x14ac:dyDescent="0.25">
      <c r="A1" s="285" t="s">
        <v>118</v>
      </c>
      <c r="B1" s="285"/>
      <c r="C1" s="285"/>
      <c r="D1" s="285"/>
      <c r="E1" s="285"/>
      <c r="F1" s="285"/>
      <c r="G1" s="285"/>
      <c r="H1" s="285"/>
      <c r="I1" s="285"/>
      <c r="J1" s="285"/>
      <c r="K1" s="285"/>
      <c r="L1" s="285"/>
      <c r="M1" s="285"/>
      <c r="N1" s="285"/>
      <c r="O1" s="285"/>
      <c r="P1" s="285"/>
      <c r="Q1" s="285"/>
      <c r="R1" s="285"/>
      <c r="S1" s="285"/>
    </row>
    <row r="2" spans="1:19" x14ac:dyDescent="0.25">
      <c r="A2" s="285"/>
      <c r="B2" s="285"/>
      <c r="C2" s="285"/>
      <c r="D2" s="285"/>
      <c r="E2" s="285"/>
      <c r="F2" s="285"/>
      <c r="G2" s="285"/>
      <c r="H2" s="285"/>
      <c r="I2" s="285"/>
      <c r="J2" s="285"/>
      <c r="K2" s="285"/>
      <c r="L2" s="285"/>
      <c r="M2" s="285"/>
      <c r="N2" s="285"/>
      <c r="O2" s="285"/>
      <c r="P2" s="285"/>
      <c r="Q2" s="285"/>
      <c r="R2" s="285"/>
      <c r="S2" s="285"/>
    </row>
    <row r="3" spans="1:19" x14ac:dyDescent="0.25">
      <c r="A3" s="285"/>
      <c r="B3" s="285"/>
      <c r="C3" s="285"/>
      <c r="D3" s="285"/>
      <c r="E3" s="285"/>
      <c r="F3" s="285"/>
      <c r="G3" s="285"/>
      <c r="H3" s="285"/>
      <c r="I3" s="285"/>
      <c r="J3" s="285"/>
      <c r="K3" s="285"/>
      <c r="L3" s="285"/>
      <c r="M3" s="285"/>
      <c r="N3" s="285"/>
      <c r="O3" s="285"/>
      <c r="P3" s="285"/>
      <c r="Q3" s="285"/>
      <c r="R3" s="285"/>
      <c r="S3" s="285"/>
    </row>
    <row r="4" spans="1:19" x14ac:dyDescent="0.25">
      <c r="A4" s="285"/>
      <c r="B4" s="285"/>
      <c r="C4" s="285"/>
      <c r="D4" s="285"/>
      <c r="E4" s="285"/>
      <c r="F4" s="285"/>
      <c r="G4" s="285"/>
      <c r="H4" s="285"/>
      <c r="I4" s="285"/>
      <c r="J4" s="285"/>
      <c r="K4" s="285"/>
      <c r="L4" s="285"/>
      <c r="M4" s="285"/>
      <c r="N4" s="285"/>
      <c r="O4" s="285"/>
      <c r="P4" s="285"/>
      <c r="Q4" s="285"/>
      <c r="R4" s="285"/>
      <c r="S4" s="285"/>
    </row>
    <row r="5" spans="1:19" x14ac:dyDescent="0.25">
      <c r="A5" s="285"/>
      <c r="B5" s="285"/>
      <c r="C5" s="285"/>
      <c r="D5" s="285"/>
      <c r="E5" s="285"/>
      <c r="F5" s="285"/>
      <c r="G5" s="285"/>
      <c r="H5" s="285"/>
      <c r="I5" s="285"/>
      <c r="J5" s="285"/>
      <c r="K5" s="285"/>
      <c r="L5" s="285"/>
      <c r="M5" s="285"/>
      <c r="N5" s="285"/>
      <c r="O5" s="285"/>
      <c r="P5" s="285"/>
      <c r="Q5" s="285"/>
      <c r="R5" s="285"/>
      <c r="S5" s="285"/>
    </row>
    <row r="6" spans="1:19" x14ac:dyDescent="0.25">
      <c r="A6" s="285"/>
      <c r="B6" s="285"/>
      <c r="C6" s="285"/>
      <c r="D6" s="285"/>
      <c r="E6" s="285"/>
      <c r="F6" s="285"/>
      <c r="G6" s="285"/>
      <c r="H6" s="285"/>
      <c r="I6" s="285"/>
      <c r="J6" s="285"/>
      <c r="K6" s="285"/>
      <c r="L6" s="285"/>
      <c r="M6" s="285"/>
      <c r="N6" s="285"/>
      <c r="O6" s="285"/>
      <c r="P6" s="285"/>
      <c r="Q6" s="285"/>
      <c r="R6" s="285"/>
      <c r="S6" s="285"/>
    </row>
    <row r="7" spans="1:19" x14ac:dyDescent="0.25">
      <c r="A7" s="285"/>
      <c r="B7" s="285"/>
      <c r="C7" s="285"/>
      <c r="D7" s="285"/>
      <c r="E7" s="285"/>
      <c r="F7" s="285"/>
      <c r="G7" s="285"/>
      <c r="H7" s="285"/>
      <c r="I7" s="285"/>
      <c r="J7" s="285"/>
      <c r="K7" s="285"/>
      <c r="L7" s="285"/>
      <c r="M7" s="285"/>
      <c r="N7" s="285"/>
      <c r="O7" s="285"/>
      <c r="P7" s="285"/>
      <c r="Q7" s="285"/>
      <c r="R7" s="285"/>
      <c r="S7" s="285"/>
    </row>
    <row r="8" spans="1:19" x14ac:dyDescent="0.25">
      <c r="A8" s="285"/>
      <c r="B8" s="285"/>
      <c r="C8" s="285"/>
      <c r="D8" s="285"/>
      <c r="E8" s="285"/>
      <c r="F8" s="285"/>
      <c r="G8" s="285"/>
      <c r="H8" s="285"/>
      <c r="I8" s="285"/>
      <c r="J8" s="285"/>
      <c r="K8" s="285"/>
      <c r="L8" s="285"/>
      <c r="M8" s="285"/>
      <c r="N8" s="285"/>
      <c r="O8" s="285"/>
      <c r="P8" s="285"/>
      <c r="Q8" s="285"/>
      <c r="R8" s="285"/>
      <c r="S8" s="285"/>
    </row>
    <row r="9" spans="1:19" x14ac:dyDescent="0.25">
      <c r="A9" s="285"/>
      <c r="B9" s="285"/>
      <c r="C9" s="285"/>
      <c r="D9" s="285"/>
      <c r="E9" s="285"/>
      <c r="F9" s="285"/>
      <c r="G9" s="285"/>
      <c r="H9" s="285"/>
      <c r="I9" s="285"/>
      <c r="J9" s="285"/>
      <c r="K9" s="285"/>
      <c r="L9" s="285"/>
      <c r="M9" s="285"/>
      <c r="N9" s="285"/>
      <c r="O9" s="285"/>
      <c r="P9" s="285"/>
      <c r="Q9" s="285"/>
      <c r="R9" s="285"/>
      <c r="S9" s="285"/>
    </row>
    <row r="10" spans="1:19" x14ac:dyDescent="0.25">
      <c r="A10" s="285"/>
      <c r="B10" s="285"/>
      <c r="C10" s="285"/>
      <c r="D10" s="285"/>
      <c r="E10" s="285"/>
      <c r="F10" s="285"/>
      <c r="G10" s="285"/>
      <c r="H10" s="285"/>
      <c r="I10" s="285"/>
      <c r="J10" s="285"/>
      <c r="K10" s="285"/>
      <c r="L10" s="285"/>
      <c r="M10" s="285"/>
      <c r="N10" s="285"/>
      <c r="O10" s="285"/>
      <c r="P10" s="285"/>
      <c r="Q10" s="285"/>
      <c r="R10" s="285"/>
      <c r="S10" s="285"/>
    </row>
    <row r="13" spans="1:19" x14ac:dyDescent="0.25">
      <c r="I13" s="131"/>
    </row>
  </sheetData>
  <sheetProtection selectLockedCells="1" selectUnlockedCells="1"/>
  <mergeCells count="1">
    <mergeCell ref="A1:S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heet4.GOD1">
                <anchor moveWithCells="1" sizeWithCells="1">
                  <from>
                    <xdr:col>0</xdr:col>
                    <xdr:colOff>57150</xdr:colOff>
                    <xdr:row>40</xdr:row>
                    <xdr:rowOff>47625</xdr:rowOff>
                  </from>
                  <to>
                    <xdr:col>1</xdr:col>
                    <xdr:colOff>552450</xdr:colOff>
                    <xdr:row>42</xdr:row>
                    <xdr:rowOff>142875</xdr:rowOff>
                  </to>
                </anchor>
              </controlPr>
            </control>
          </mc:Choice>
        </mc:AlternateContent>
        <mc:AlternateContent xmlns:mc="http://schemas.openxmlformats.org/markup-compatibility/2006">
          <mc:Choice Requires="x14">
            <control shapeId="11267" r:id="rId5" name="Button 3">
              <controlPr defaultSize="0" print="0" autoFill="0" autoPict="0" macro="[0]!Sheet4.GOD2">
                <anchor moveWithCells="1" sizeWithCells="1">
                  <from>
                    <xdr:col>2</xdr:col>
                    <xdr:colOff>28575</xdr:colOff>
                    <xdr:row>40</xdr:row>
                    <xdr:rowOff>47625</xdr:rowOff>
                  </from>
                  <to>
                    <xdr:col>3</xdr:col>
                    <xdr:colOff>523875</xdr:colOff>
                    <xdr:row>42</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7A48C-AE6E-4F75-8436-70AF581C8C35}">
  <sheetPr codeName="Sheet5">
    <tabColor rgb="FFFFC000"/>
  </sheetPr>
  <dimension ref="A1:I81"/>
  <sheetViews>
    <sheetView topLeftCell="A37" zoomScale="70" zoomScaleNormal="70" workbookViewId="0">
      <selection activeCell="J79" sqref="J79"/>
    </sheetView>
  </sheetViews>
  <sheetFormatPr defaultRowHeight="15" x14ac:dyDescent="0.25"/>
  <cols>
    <col min="1" max="2" width="30.7109375" customWidth="1"/>
    <col min="3" max="4" width="15.7109375" customWidth="1"/>
    <col min="5" max="6" width="30.7109375" customWidth="1"/>
    <col min="7" max="7" width="27.5703125" customWidth="1"/>
    <col min="8" max="8" width="12.42578125" bestFit="1" customWidth="1"/>
    <col min="9" max="9" width="11.7109375" customWidth="1"/>
    <col min="10" max="10" width="22.140625" customWidth="1"/>
    <col min="11" max="11" width="22" customWidth="1"/>
    <col min="12" max="12" width="53.42578125" customWidth="1"/>
    <col min="13" max="13" width="30.42578125" customWidth="1"/>
  </cols>
  <sheetData>
    <row r="1" spans="1:6" x14ac:dyDescent="0.25">
      <c r="A1" s="50" t="str">
        <f>IF('MAIN - CL'!B3=0,"",'MAIN - CL'!B3)</f>
        <v/>
      </c>
      <c r="B1" s="50">
        <f>CONTACTS!F32</f>
        <v>0</v>
      </c>
      <c r="C1" s="51">
        <v>1</v>
      </c>
      <c r="D1" s="51">
        <v>1</v>
      </c>
      <c r="E1" s="50" t="str">
        <f>IF('MAIN - FRAMES'!B3="","",'MAIN - FRAMES'!B3)</f>
        <v/>
      </c>
      <c r="F1" s="50" t="str">
        <f>IF('MAIN - FRAMES'!B14="","",'MAIN - FRAMES'!B14)</f>
        <v/>
      </c>
    </row>
    <row r="2" spans="1:6" x14ac:dyDescent="0.25">
      <c r="A2" s="50" t="str">
        <f>IF('MAIN - CL'!B4=0,"",'MAIN - CL'!B4)</f>
        <v/>
      </c>
      <c r="B2" s="50"/>
      <c r="C2" s="51"/>
      <c r="D2" s="51"/>
      <c r="E2" s="50" t="str">
        <f>IF('MAIN - FRAMES'!B4="","",'MAIN - FRAMES'!B4)</f>
        <v/>
      </c>
      <c r="F2" s="50" t="str">
        <f>IF('MAIN - FRAMES'!A15="","",'MAIN - FRAMES'!A15)</f>
        <v/>
      </c>
    </row>
    <row r="3" spans="1:6" x14ac:dyDescent="0.25">
      <c r="A3" s="50" t="str">
        <f>IF('MAIN - CL'!B5=0,"",'MAIN - CL'!B5)</f>
        <v/>
      </c>
      <c r="B3" s="50" t="str">
        <f>IF('MAIN - CL'!C5=0,"",'MAIN - CL'!C5)</f>
        <v/>
      </c>
      <c r="C3" s="51"/>
      <c r="D3" s="51"/>
      <c r="E3" s="50" t="str">
        <f>IF('MAIN - FRAMES'!B5="","",'MAIN - FRAMES'!B5)</f>
        <v/>
      </c>
      <c r="F3" s="50" t="str">
        <f>IF(FRAMES!F32="","",FRAMES!F32)</f>
        <v/>
      </c>
    </row>
    <row r="4" spans="1:6" x14ac:dyDescent="0.25">
      <c r="A4" s="50" t="str">
        <f>IF('MAIN - CL'!B6=0,"",'MAIN - CL'!B6)</f>
        <v/>
      </c>
      <c r="B4" s="50" t="str">
        <f>IF('MAIN - CL'!C6=0,"",'MAIN - CL'!C6)</f>
        <v/>
      </c>
      <c r="C4" s="51"/>
      <c r="D4" s="51"/>
      <c r="E4" s="50" t="str">
        <f>IF('MAIN - FRAMES'!B6="","",'MAIN - FRAMES'!B6)</f>
        <v/>
      </c>
      <c r="F4" s="50"/>
    </row>
    <row r="5" spans="1:6" x14ac:dyDescent="0.25">
      <c r="A5" s="50" t="str">
        <f>IF('MAIN - CL'!B7=0,"",'MAIN - CL'!B7)</f>
        <v/>
      </c>
      <c r="B5" s="50" t="str">
        <f>IF('MAIN - CL'!C7=0,"",'MAIN - CL'!C7)</f>
        <v/>
      </c>
      <c r="C5" s="51"/>
      <c r="D5" s="51"/>
      <c r="E5" s="50" t="str">
        <f>IF('MAIN - FRAMES'!B7="","",'MAIN - FRAMES'!B7)</f>
        <v/>
      </c>
      <c r="F5" s="50"/>
    </row>
    <row r="6" spans="1:6" x14ac:dyDescent="0.25">
      <c r="A6" s="50" t="str">
        <f>IF('MAIN - CL'!B9=0,"",'MAIN - CL'!B9)</f>
        <v/>
      </c>
      <c r="B6" s="50" t="str">
        <f>IF('MAIN - CL'!C9=0,"",'MAIN - CL'!C9)</f>
        <v/>
      </c>
      <c r="C6" s="51"/>
      <c r="D6" s="51"/>
      <c r="E6" s="50" t="str">
        <f>IF('MAIN - FRAMES'!B8="","",'MAIN - FRAMES'!B8)</f>
        <v/>
      </c>
      <c r="F6" s="50"/>
    </row>
    <row r="7" spans="1:6" x14ac:dyDescent="0.25">
      <c r="A7" s="50" t="str">
        <f>IF('MAIN - CL'!B10=0,"",'MAIN - CL'!B10)</f>
        <v/>
      </c>
      <c r="B7" s="50" t="str">
        <f>IF('MAIN - CL'!C10=0,"",'MAIN - CL'!C10)</f>
        <v/>
      </c>
      <c r="C7" s="51"/>
      <c r="D7" s="51"/>
      <c r="E7" s="50" t="str">
        <f>IF('MAIN - FRAMES'!B9="","",'MAIN - FRAMES'!B9)</f>
        <v/>
      </c>
      <c r="F7" s="50"/>
    </row>
    <row r="8" spans="1:6" x14ac:dyDescent="0.25">
      <c r="A8" s="50" t="str">
        <f>IF('MAIN - CL'!B11=0,"",'MAIN - CL'!B11)</f>
        <v/>
      </c>
      <c r="B8" s="50" t="str">
        <f>IF('MAIN - CL'!C11=0,"",'MAIN - CL'!C11)</f>
        <v/>
      </c>
      <c r="C8" s="51"/>
      <c r="D8" s="51"/>
      <c r="E8" s="50" t="str">
        <f>IF('MAIN - FRAMES'!B10="","",'MAIN - FRAMES'!B10)</f>
        <v/>
      </c>
      <c r="F8" s="50"/>
    </row>
    <row r="9" spans="1:6" x14ac:dyDescent="0.25">
      <c r="A9" s="50" t="str">
        <f>IF('MAIN - CL'!B14=0,"",'MAIN - CL'!B14)</f>
        <v/>
      </c>
      <c r="B9" s="50" t="str">
        <f>IF('MAIN - CL'!C14=0,"",'MAIN - CL'!C14)</f>
        <v/>
      </c>
      <c r="C9" s="51"/>
      <c r="D9" s="51"/>
      <c r="E9" s="50" t="str">
        <f>IF('MAIN - FRAMES'!B11="","",'MAIN - FRAMES'!B11)</f>
        <v/>
      </c>
      <c r="F9" s="50"/>
    </row>
    <row r="10" spans="1:6" x14ac:dyDescent="0.25">
      <c r="A10" s="286" t="s">
        <v>105</v>
      </c>
      <c r="B10" s="286"/>
      <c r="C10" s="51"/>
      <c r="D10" s="51"/>
      <c r="E10" s="286"/>
      <c r="F10" s="286"/>
    </row>
    <row r="11" spans="1:6" x14ac:dyDescent="0.25">
      <c r="A11" s="286"/>
      <c r="B11" s="286"/>
      <c r="C11" s="51"/>
      <c r="D11" s="51"/>
      <c r="E11" s="286"/>
      <c r="F11" s="286"/>
    </row>
    <row r="12" spans="1:6" x14ac:dyDescent="0.25">
      <c r="A12" s="58" t="s">
        <v>43</v>
      </c>
      <c r="B12" s="58">
        <v>0</v>
      </c>
      <c r="C12" s="51"/>
      <c r="D12" s="51"/>
      <c r="E12" s="59" t="s">
        <v>43</v>
      </c>
      <c r="F12" s="59" t="s">
        <v>43</v>
      </c>
    </row>
    <row r="13" spans="1:6" x14ac:dyDescent="0.25">
      <c r="A13" s="58" t="s">
        <v>43</v>
      </c>
      <c r="B13" s="58"/>
      <c r="C13" s="51"/>
      <c r="D13" s="51"/>
      <c r="E13" s="59" t="s">
        <v>43</v>
      </c>
      <c r="F13" s="59" t="s">
        <v>43</v>
      </c>
    </row>
    <row r="14" spans="1:6" x14ac:dyDescent="0.25">
      <c r="A14" s="58" t="s">
        <v>43</v>
      </c>
      <c r="B14" s="58" t="s">
        <v>43</v>
      </c>
      <c r="C14" s="51"/>
      <c r="D14" s="51"/>
      <c r="E14" s="59" t="s">
        <v>43</v>
      </c>
      <c r="F14" s="59" t="s">
        <v>43</v>
      </c>
    </row>
    <row r="15" spans="1:6" x14ac:dyDescent="0.25">
      <c r="A15" s="58" t="s">
        <v>43</v>
      </c>
      <c r="B15" s="58" t="s">
        <v>43</v>
      </c>
      <c r="C15" s="51"/>
      <c r="D15" s="51"/>
      <c r="E15" s="59" t="s">
        <v>43</v>
      </c>
      <c r="F15" s="59"/>
    </row>
    <row r="16" spans="1:6" x14ac:dyDescent="0.25">
      <c r="A16" s="58" t="s">
        <v>43</v>
      </c>
      <c r="B16" s="58" t="s">
        <v>43</v>
      </c>
      <c r="C16" s="51"/>
      <c r="D16" s="51"/>
      <c r="E16" s="59" t="s">
        <v>43</v>
      </c>
      <c r="F16" s="59"/>
    </row>
    <row r="17" spans="1:6" x14ac:dyDescent="0.25">
      <c r="A17" s="58" t="s">
        <v>43</v>
      </c>
      <c r="B17" s="58" t="s">
        <v>43</v>
      </c>
      <c r="C17" s="51"/>
      <c r="D17" s="51"/>
      <c r="E17" s="59" t="s">
        <v>43</v>
      </c>
      <c r="F17" s="59"/>
    </row>
    <row r="18" spans="1:6" x14ac:dyDescent="0.25">
      <c r="A18" s="58" t="s">
        <v>43</v>
      </c>
      <c r="B18" s="58" t="s">
        <v>43</v>
      </c>
      <c r="C18" s="51"/>
      <c r="D18" s="51"/>
      <c r="E18" s="59" t="s">
        <v>43</v>
      </c>
      <c r="F18" s="59"/>
    </row>
    <row r="19" spans="1:6" x14ac:dyDescent="0.25">
      <c r="A19" s="58" t="s">
        <v>43</v>
      </c>
      <c r="B19" s="58" t="s">
        <v>43</v>
      </c>
      <c r="C19" s="51"/>
      <c r="D19" s="51"/>
      <c r="E19" s="59" t="s">
        <v>43</v>
      </c>
      <c r="F19" s="59"/>
    </row>
    <row r="20" spans="1:6" x14ac:dyDescent="0.25">
      <c r="A20" s="58" t="s">
        <v>43</v>
      </c>
      <c r="B20" s="58" t="s">
        <v>43</v>
      </c>
      <c r="C20" s="51"/>
      <c r="D20" s="51"/>
      <c r="E20" s="59" t="s">
        <v>43</v>
      </c>
      <c r="F20" s="59"/>
    </row>
    <row r="21" spans="1:6" x14ac:dyDescent="0.25">
      <c r="A21" s="51"/>
      <c r="B21" s="51"/>
      <c r="C21" s="51"/>
      <c r="D21" s="51"/>
      <c r="E21" s="51"/>
      <c r="F21" s="51"/>
    </row>
    <row r="22" spans="1:6" x14ac:dyDescent="0.25">
      <c r="A22" s="58" t="s">
        <v>43</v>
      </c>
      <c r="B22" s="58">
        <v>0</v>
      </c>
      <c r="C22" s="51"/>
      <c r="D22" s="51"/>
      <c r="E22" s="59" t="s">
        <v>43</v>
      </c>
      <c r="F22" s="59" t="s">
        <v>43</v>
      </c>
    </row>
    <row r="23" spans="1:6" x14ac:dyDescent="0.25">
      <c r="A23" s="58" t="s">
        <v>43</v>
      </c>
      <c r="B23" s="58"/>
      <c r="C23" s="51"/>
      <c r="D23" s="51"/>
      <c r="E23" s="59" t="s">
        <v>43</v>
      </c>
      <c r="F23" s="59" t="s">
        <v>43</v>
      </c>
    </row>
    <row r="24" spans="1:6" x14ac:dyDescent="0.25">
      <c r="A24" s="58" t="s">
        <v>43</v>
      </c>
      <c r="B24" s="58" t="s">
        <v>43</v>
      </c>
      <c r="C24" s="51"/>
      <c r="D24" s="51"/>
      <c r="E24" s="59" t="s">
        <v>43</v>
      </c>
      <c r="F24" s="59" t="s">
        <v>43</v>
      </c>
    </row>
    <row r="25" spans="1:6" x14ac:dyDescent="0.25">
      <c r="A25" s="58" t="s">
        <v>43</v>
      </c>
      <c r="B25" s="58" t="s">
        <v>43</v>
      </c>
      <c r="C25" s="51"/>
      <c r="D25" s="51"/>
      <c r="E25" s="59" t="s">
        <v>43</v>
      </c>
      <c r="F25" s="59"/>
    </row>
    <row r="26" spans="1:6" x14ac:dyDescent="0.25">
      <c r="A26" s="58" t="s">
        <v>43</v>
      </c>
      <c r="B26" s="58" t="s">
        <v>43</v>
      </c>
      <c r="C26" s="51"/>
      <c r="D26" s="51"/>
      <c r="E26" s="59" t="s">
        <v>43</v>
      </c>
      <c r="F26" s="59"/>
    </row>
    <row r="27" spans="1:6" x14ac:dyDescent="0.25">
      <c r="A27" s="58" t="s">
        <v>43</v>
      </c>
      <c r="B27" s="58" t="s">
        <v>43</v>
      </c>
      <c r="C27" s="51"/>
      <c r="D27" s="51"/>
      <c r="E27" s="59" t="s">
        <v>43</v>
      </c>
      <c r="F27" s="59"/>
    </row>
    <row r="28" spans="1:6" x14ac:dyDescent="0.25">
      <c r="A28" s="58" t="s">
        <v>43</v>
      </c>
      <c r="B28" s="58" t="s">
        <v>43</v>
      </c>
      <c r="C28" s="51"/>
      <c r="D28" s="51"/>
      <c r="E28" s="59" t="s">
        <v>43</v>
      </c>
      <c r="F28" s="59"/>
    </row>
    <row r="29" spans="1:6" x14ac:dyDescent="0.25">
      <c r="A29" s="58" t="s">
        <v>43</v>
      </c>
      <c r="B29" s="58" t="s">
        <v>43</v>
      </c>
      <c r="C29" s="51"/>
      <c r="D29" s="51"/>
      <c r="E29" s="59" t="s">
        <v>43</v>
      </c>
      <c r="F29" s="59"/>
    </row>
    <row r="30" spans="1:6" x14ac:dyDescent="0.25">
      <c r="A30" s="58" t="s">
        <v>43</v>
      </c>
      <c r="B30" s="58" t="s">
        <v>43</v>
      </c>
      <c r="C30" s="51"/>
      <c r="D30" s="51"/>
      <c r="E30" s="59" t="s">
        <v>43</v>
      </c>
      <c r="F30" s="59"/>
    </row>
    <row r="31" spans="1:6" x14ac:dyDescent="0.25">
      <c r="A31" s="51"/>
      <c r="B31" s="51"/>
      <c r="C31" s="51"/>
      <c r="D31" s="51"/>
      <c r="E31" s="51"/>
      <c r="F31" s="51"/>
    </row>
    <row r="32" spans="1:6" x14ac:dyDescent="0.25">
      <c r="A32" s="58" t="s">
        <v>43</v>
      </c>
      <c r="B32" s="58">
        <v>0</v>
      </c>
      <c r="C32" s="51"/>
      <c r="D32" s="51"/>
      <c r="E32" s="59" t="s">
        <v>43</v>
      </c>
      <c r="F32" s="59" t="s">
        <v>43</v>
      </c>
    </row>
    <row r="33" spans="1:6" x14ac:dyDescent="0.25">
      <c r="A33" s="58" t="s">
        <v>43</v>
      </c>
      <c r="B33" s="58"/>
      <c r="C33" s="51"/>
      <c r="D33" s="51"/>
      <c r="E33" s="59" t="s">
        <v>43</v>
      </c>
      <c r="F33" s="59" t="s">
        <v>43</v>
      </c>
    </row>
    <row r="34" spans="1:6" x14ac:dyDescent="0.25">
      <c r="A34" s="58" t="s">
        <v>43</v>
      </c>
      <c r="B34" s="58" t="s">
        <v>43</v>
      </c>
      <c r="C34" s="51"/>
      <c r="D34" s="51"/>
      <c r="E34" s="59" t="s">
        <v>43</v>
      </c>
      <c r="F34" s="59" t="s">
        <v>43</v>
      </c>
    </row>
    <row r="35" spans="1:6" x14ac:dyDescent="0.25">
      <c r="A35" s="58" t="s">
        <v>43</v>
      </c>
      <c r="B35" s="58" t="s">
        <v>43</v>
      </c>
      <c r="C35" s="51"/>
      <c r="D35" s="51"/>
      <c r="E35" s="59" t="s">
        <v>43</v>
      </c>
      <c r="F35" s="59"/>
    </row>
    <row r="36" spans="1:6" x14ac:dyDescent="0.25">
      <c r="A36" s="58" t="s">
        <v>43</v>
      </c>
      <c r="B36" s="58" t="s">
        <v>43</v>
      </c>
      <c r="C36" s="51"/>
      <c r="D36" s="51"/>
      <c r="E36" s="59" t="s">
        <v>43</v>
      </c>
      <c r="F36" s="59"/>
    </row>
    <row r="37" spans="1:6" x14ac:dyDescent="0.25">
      <c r="A37" s="58" t="s">
        <v>43</v>
      </c>
      <c r="B37" s="58" t="s">
        <v>43</v>
      </c>
      <c r="C37" s="51"/>
      <c r="D37" s="51"/>
      <c r="E37" s="59" t="s">
        <v>43</v>
      </c>
      <c r="F37" s="59"/>
    </row>
    <row r="38" spans="1:6" x14ac:dyDescent="0.25">
      <c r="A38" s="58" t="s">
        <v>43</v>
      </c>
      <c r="B38" s="58" t="s">
        <v>43</v>
      </c>
      <c r="C38" s="51"/>
      <c r="D38" s="51"/>
      <c r="E38" s="59" t="s">
        <v>43</v>
      </c>
      <c r="F38" s="59"/>
    </row>
    <row r="39" spans="1:6" x14ac:dyDescent="0.25">
      <c r="A39" s="58" t="s">
        <v>43</v>
      </c>
      <c r="B39" s="58" t="s">
        <v>43</v>
      </c>
      <c r="C39" s="51"/>
      <c r="D39" s="51"/>
      <c r="E39" s="59" t="s">
        <v>43</v>
      </c>
      <c r="F39" s="59"/>
    </row>
    <row r="40" spans="1:6" x14ac:dyDescent="0.25">
      <c r="A40" s="58" t="s">
        <v>43</v>
      </c>
      <c r="B40" s="58" t="s">
        <v>43</v>
      </c>
      <c r="C40" s="51"/>
      <c r="D40" s="51"/>
      <c r="E40" s="59" t="s">
        <v>43</v>
      </c>
      <c r="F40" s="59"/>
    </row>
    <row r="41" spans="1:6" x14ac:dyDescent="0.25">
      <c r="A41" s="51"/>
      <c r="B41" s="51"/>
      <c r="C41" s="51"/>
      <c r="D41" s="51"/>
      <c r="E41" s="51"/>
      <c r="F41" s="51"/>
    </row>
    <row r="42" spans="1:6" x14ac:dyDescent="0.25">
      <c r="A42" s="58" t="s">
        <v>43</v>
      </c>
      <c r="B42" s="58">
        <v>0</v>
      </c>
      <c r="C42" s="51"/>
      <c r="D42" s="51"/>
      <c r="E42" s="59" t="s">
        <v>43</v>
      </c>
      <c r="F42" s="59" t="s">
        <v>43</v>
      </c>
    </row>
    <row r="43" spans="1:6" x14ac:dyDescent="0.25">
      <c r="A43" s="58" t="s">
        <v>43</v>
      </c>
      <c r="B43" s="58"/>
      <c r="C43" s="51"/>
      <c r="D43" s="51"/>
      <c r="E43" s="59" t="s">
        <v>43</v>
      </c>
      <c r="F43" s="59" t="s">
        <v>43</v>
      </c>
    </row>
    <row r="44" spans="1:6" x14ac:dyDescent="0.25">
      <c r="A44" s="58" t="s">
        <v>43</v>
      </c>
      <c r="B44" s="58" t="s">
        <v>43</v>
      </c>
      <c r="C44" s="51"/>
      <c r="D44" s="51"/>
      <c r="E44" s="59" t="s">
        <v>43</v>
      </c>
      <c r="F44" s="59" t="s">
        <v>43</v>
      </c>
    </row>
    <row r="45" spans="1:6" x14ac:dyDescent="0.25">
      <c r="A45" s="58" t="s">
        <v>43</v>
      </c>
      <c r="B45" s="58" t="s">
        <v>43</v>
      </c>
      <c r="C45" s="51"/>
      <c r="D45" s="51"/>
      <c r="E45" s="59" t="s">
        <v>43</v>
      </c>
      <c r="F45" s="59"/>
    </row>
    <row r="46" spans="1:6" x14ac:dyDescent="0.25">
      <c r="A46" s="58" t="s">
        <v>43</v>
      </c>
      <c r="B46" s="58" t="s">
        <v>43</v>
      </c>
      <c r="C46" s="51"/>
      <c r="D46" s="51"/>
      <c r="E46" s="59" t="s">
        <v>43</v>
      </c>
      <c r="F46" s="59"/>
    </row>
    <row r="47" spans="1:6" x14ac:dyDescent="0.25">
      <c r="A47" s="58" t="s">
        <v>43</v>
      </c>
      <c r="B47" s="58" t="s">
        <v>43</v>
      </c>
      <c r="C47" s="51"/>
      <c r="D47" s="51"/>
      <c r="E47" s="59" t="s">
        <v>43</v>
      </c>
      <c r="F47" s="59"/>
    </row>
    <row r="48" spans="1:6" x14ac:dyDescent="0.25">
      <c r="A48" s="58" t="s">
        <v>43</v>
      </c>
      <c r="B48" s="58" t="s">
        <v>43</v>
      </c>
      <c r="C48" s="51"/>
      <c r="D48" s="51"/>
      <c r="E48" s="59" t="s">
        <v>43</v>
      </c>
      <c r="F48" s="59"/>
    </row>
    <row r="49" spans="1:6" x14ac:dyDescent="0.25">
      <c r="A49" s="58" t="s">
        <v>43</v>
      </c>
      <c r="B49" s="58" t="s">
        <v>43</v>
      </c>
      <c r="C49" s="51"/>
      <c r="D49" s="51"/>
      <c r="E49" s="59" t="s">
        <v>43</v>
      </c>
      <c r="F49" s="59"/>
    </row>
    <row r="50" spans="1:6" x14ac:dyDescent="0.25">
      <c r="A50" s="58" t="s">
        <v>43</v>
      </c>
      <c r="B50" s="58" t="s">
        <v>43</v>
      </c>
      <c r="C50" s="51"/>
      <c r="D50" s="51"/>
      <c r="E50" s="59" t="s">
        <v>43</v>
      </c>
      <c r="F50" s="59"/>
    </row>
    <row r="51" spans="1:6" x14ac:dyDescent="0.25">
      <c r="A51" s="51"/>
      <c r="B51" s="51"/>
      <c r="C51" s="51"/>
      <c r="D51" s="51"/>
      <c r="E51" s="51"/>
      <c r="F51" s="51"/>
    </row>
    <row r="52" spans="1:6" x14ac:dyDescent="0.25">
      <c r="A52" s="58" t="s">
        <v>43</v>
      </c>
      <c r="B52" s="58">
        <v>0</v>
      </c>
      <c r="C52" s="51"/>
      <c r="D52" s="51"/>
      <c r="E52" s="59" t="s">
        <v>43</v>
      </c>
      <c r="F52" s="59" t="s">
        <v>43</v>
      </c>
    </row>
    <row r="53" spans="1:6" x14ac:dyDescent="0.25">
      <c r="A53" s="58" t="s">
        <v>43</v>
      </c>
      <c r="B53" s="58"/>
      <c r="C53" s="51"/>
      <c r="D53" s="51"/>
      <c r="E53" s="59" t="s">
        <v>43</v>
      </c>
      <c r="F53" s="59" t="s">
        <v>43</v>
      </c>
    </row>
    <row r="54" spans="1:6" x14ac:dyDescent="0.25">
      <c r="A54" s="58" t="s">
        <v>43</v>
      </c>
      <c r="B54" s="58" t="s">
        <v>43</v>
      </c>
      <c r="C54" s="51"/>
      <c r="D54" s="51"/>
      <c r="E54" s="59" t="s">
        <v>43</v>
      </c>
      <c r="F54" s="59" t="s">
        <v>43</v>
      </c>
    </row>
    <row r="55" spans="1:6" x14ac:dyDescent="0.25">
      <c r="A55" s="58" t="s">
        <v>43</v>
      </c>
      <c r="B55" s="58" t="s">
        <v>43</v>
      </c>
      <c r="C55" s="51"/>
      <c r="D55" s="51"/>
      <c r="E55" s="59" t="s">
        <v>43</v>
      </c>
      <c r="F55" s="59"/>
    </row>
    <row r="56" spans="1:6" x14ac:dyDescent="0.25">
      <c r="A56" s="58" t="s">
        <v>43</v>
      </c>
      <c r="B56" s="58" t="s">
        <v>43</v>
      </c>
      <c r="C56" s="51"/>
      <c r="D56" s="51"/>
      <c r="E56" s="59" t="s">
        <v>43</v>
      </c>
      <c r="F56" s="59"/>
    </row>
    <row r="57" spans="1:6" x14ac:dyDescent="0.25">
      <c r="A57" s="58" t="s">
        <v>43</v>
      </c>
      <c r="B57" s="58" t="s">
        <v>43</v>
      </c>
      <c r="C57" s="51"/>
      <c r="D57" s="51"/>
      <c r="E57" s="59" t="s">
        <v>43</v>
      </c>
      <c r="F57" s="59"/>
    </row>
    <row r="58" spans="1:6" x14ac:dyDescent="0.25">
      <c r="A58" s="58" t="s">
        <v>43</v>
      </c>
      <c r="B58" s="58" t="s">
        <v>43</v>
      </c>
      <c r="C58" s="51"/>
      <c r="D58" s="51"/>
      <c r="E58" s="59" t="s">
        <v>43</v>
      </c>
      <c r="F58" s="59"/>
    </row>
    <row r="59" spans="1:6" x14ac:dyDescent="0.25">
      <c r="A59" s="58" t="s">
        <v>43</v>
      </c>
      <c r="B59" s="58" t="s">
        <v>43</v>
      </c>
      <c r="C59" s="51"/>
      <c r="D59" s="51"/>
      <c r="E59" s="59" t="s">
        <v>43</v>
      </c>
      <c r="F59" s="59"/>
    </row>
    <row r="60" spans="1:6" x14ac:dyDescent="0.25">
      <c r="A60" s="58" t="s">
        <v>43</v>
      </c>
      <c r="B60" s="58" t="s">
        <v>43</v>
      </c>
      <c r="C60" s="51"/>
      <c r="D60" s="51"/>
      <c r="E60" s="59" t="s">
        <v>43</v>
      </c>
      <c r="F60" s="59"/>
    </row>
    <row r="61" spans="1:6" x14ac:dyDescent="0.25">
      <c r="A61" s="51"/>
      <c r="B61" s="51"/>
      <c r="C61" s="51"/>
      <c r="D61" s="51"/>
      <c r="E61" s="51"/>
      <c r="F61" s="51"/>
    </row>
    <row r="64" spans="1:6" x14ac:dyDescent="0.25">
      <c r="C64" s="145"/>
    </row>
    <row r="65" spans="3:9" x14ac:dyDescent="0.25">
      <c r="C65" s="93"/>
      <c r="D65" s="147"/>
      <c r="E65" s="1"/>
      <c r="F65" s="1"/>
      <c r="G65" s="1"/>
      <c r="H65" s="1"/>
    </row>
    <row r="66" spans="3:9" x14ac:dyDescent="0.25">
      <c r="C66" s="1"/>
      <c r="D66" s="150" t="s">
        <v>153</v>
      </c>
      <c r="E66" s="151" t="s">
        <v>144</v>
      </c>
      <c r="F66" s="151" t="s">
        <v>145</v>
      </c>
      <c r="G66" s="151" t="s">
        <v>146</v>
      </c>
      <c r="H66" s="151" t="s">
        <v>147</v>
      </c>
    </row>
    <row r="67" spans="3:9" x14ac:dyDescent="0.25">
      <c r="C67" s="93"/>
      <c r="D67" s="152" t="s">
        <v>141</v>
      </c>
      <c r="E67" s="151">
        <f>IF(FRAMES!$F$37=2,0,FRAMES!$F$37)</f>
        <v>0</v>
      </c>
      <c r="F67" s="151">
        <f>IF(FRAMES!$F$37=2,0,FRAMES!$F$37)</f>
        <v>0</v>
      </c>
      <c r="G67" s="151">
        <f>IF(FRAMES!$F$37=2,0,FRAMES!$F$37)</f>
        <v>0</v>
      </c>
      <c r="H67" s="151"/>
    </row>
    <row r="68" spans="3:9" x14ac:dyDescent="0.25">
      <c r="C68" s="93"/>
      <c r="D68" s="152" t="s">
        <v>142</v>
      </c>
      <c r="E68" s="151">
        <f>IF('MAIN - FRAMES'!$B$21=0,1,0)</f>
        <v>1</v>
      </c>
      <c r="F68" s="151">
        <f>IF('MAIN - FRAMES'!$B$21=0,1,0)</f>
        <v>1</v>
      </c>
      <c r="G68" s="151">
        <f>IF('MAIN - FRAMES'!$B$21=0,1,0)</f>
        <v>1</v>
      </c>
      <c r="H68" s="151">
        <f>IF('MAIN - FRAMES'!$B$21=0,1,0)</f>
        <v>1</v>
      </c>
    </row>
    <row r="69" spans="3:9" x14ac:dyDescent="0.25">
      <c r="C69" s="93"/>
      <c r="D69" s="152" t="s">
        <v>143</v>
      </c>
      <c r="E69" s="151">
        <v>0</v>
      </c>
      <c r="F69" s="151">
        <v>0</v>
      </c>
      <c r="G69" s="151">
        <v>0</v>
      </c>
      <c r="H69" s="151">
        <v>0</v>
      </c>
    </row>
    <row r="70" spans="3:9" x14ac:dyDescent="0.25">
      <c r="C70" s="1"/>
      <c r="D70" s="152"/>
      <c r="E70" s="151"/>
      <c r="F70" s="151"/>
      <c r="G70" s="151"/>
      <c r="H70" s="151"/>
    </row>
    <row r="71" spans="3:9" x14ac:dyDescent="0.25">
      <c r="C71" s="1"/>
      <c r="D71" s="155" t="s">
        <v>148</v>
      </c>
      <c r="E71" s="156">
        <f>SUM(E68+E67+E65)</f>
        <v>1</v>
      </c>
      <c r="F71" s="156">
        <f>SUM(F69,F68,F67,F65)</f>
        <v>1</v>
      </c>
      <c r="G71" s="156">
        <f>SUM(,G68,G67,)</f>
        <v>1</v>
      </c>
      <c r="H71" s="156">
        <f>SUM(H68,H65)</f>
        <v>1</v>
      </c>
    </row>
    <row r="72" spans="3:9" x14ac:dyDescent="0.25">
      <c r="C72" s="146"/>
      <c r="D72" s="147"/>
      <c r="E72" s="1"/>
      <c r="F72" s="1"/>
      <c r="G72" s="1"/>
      <c r="H72" s="1"/>
    </row>
    <row r="73" spans="3:9" x14ac:dyDescent="0.25">
      <c r="C73" s="1"/>
      <c r="D73" s="147"/>
      <c r="E73" s="1"/>
      <c r="F73" s="1"/>
      <c r="G73" s="1"/>
      <c r="H73" s="1"/>
    </row>
    <row r="74" spans="3:9" x14ac:dyDescent="0.25">
      <c r="C74" s="146" t="s">
        <v>149</v>
      </c>
      <c r="D74" s="147"/>
      <c r="E74" s="1"/>
      <c r="F74" s="1"/>
      <c r="G74" s="1"/>
      <c r="H74" s="1"/>
    </row>
    <row r="75" spans="3:9" x14ac:dyDescent="0.25">
      <c r="C75" s="1"/>
      <c r="D75" s="147"/>
      <c r="E75" s="1"/>
      <c r="F75" s="1"/>
      <c r="G75" s="1"/>
      <c r="H75" s="1"/>
    </row>
    <row r="76" spans="3:9" x14ac:dyDescent="0.25">
      <c r="C76" s="1"/>
      <c r="D76" s="150" t="s">
        <v>154</v>
      </c>
      <c r="E76" s="151" t="s">
        <v>144</v>
      </c>
      <c r="F76" s="151" t="s">
        <v>145</v>
      </c>
      <c r="G76" s="151" t="s">
        <v>146</v>
      </c>
      <c r="H76" s="151" t="s">
        <v>147</v>
      </c>
      <c r="I76" s="157" t="s">
        <v>156</v>
      </c>
    </row>
    <row r="77" spans="3:9" x14ac:dyDescent="0.25">
      <c r="C77" s="1"/>
      <c r="D77" s="152" t="s">
        <v>152</v>
      </c>
      <c r="E77" s="151">
        <f>IF(CONTACTS!$J$3=FALSE,1,0)</f>
        <v>1</v>
      </c>
      <c r="F77" s="151">
        <f>IF(CONTACTS!$J$3=FALSE,1,0)</f>
        <v>1</v>
      </c>
      <c r="G77" s="151">
        <f>IF(CONTACTS!$J$3=FALSE,1,0)</f>
        <v>1</v>
      </c>
      <c r="H77" s="151">
        <f>IF(CONTACTS!$J$3=FALSE,1,0)</f>
        <v>1</v>
      </c>
      <c r="I77" s="151"/>
    </row>
    <row r="78" spans="3:9" x14ac:dyDescent="0.25">
      <c r="C78" s="1"/>
      <c r="D78" s="152" t="s">
        <v>142</v>
      </c>
      <c r="E78" s="153">
        <f>IF('MAIN - CL'!$B$20=0,1,0)</f>
        <v>1</v>
      </c>
      <c r="F78" s="153">
        <f>IF('MAIN - CL'!$B$20=0,1,0)</f>
        <v>1</v>
      </c>
      <c r="G78" s="153">
        <f>IF('MAIN - CL'!$B$20=0,1,0)</f>
        <v>1</v>
      </c>
      <c r="H78" s="153">
        <f>IF('MAIN - CL'!$B$20=0,1,0)</f>
        <v>1</v>
      </c>
      <c r="I78" s="153"/>
    </row>
    <row r="79" spans="3:9" x14ac:dyDescent="0.25">
      <c r="C79" s="1"/>
      <c r="D79" s="154" t="s">
        <v>155</v>
      </c>
      <c r="E79" s="151">
        <v>0</v>
      </c>
      <c r="F79" s="151">
        <f>E79</f>
        <v>0</v>
      </c>
      <c r="G79" s="151">
        <f>F79</f>
        <v>0</v>
      </c>
      <c r="H79" s="151">
        <f t="shared" ref="H79" si="0">G79</f>
        <v>0</v>
      </c>
      <c r="I79" s="151"/>
    </row>
    <row r="80" spans="3:9" x14ac:dyDescent="0.25">
      <c r="D80" s="50" t="s">
        <v>141</v>
      </c>
      <c r="E80" s="50">
        <f>IF(CONTACTS!F35=1,1,0)</f>
        <v>0</v>
      </c>
      <c r="F80" s="50">
        <f>$E$80</f>
        <v>0</v>
      </c>
      <c r="G80" s="50">
        <f t="shared" ref="G80:H80" si="1">$E$80</f>
        <v>0</v>
      </c>
      <c r="H80" s="50">
        <f t="shared" si="1"/>
        <v>0</v>
      </c>
      <c r="I80" s="50"/>
    </row>
    <row r="81" spans="4:9" x14ac:dyDescent="0.25">
      <c r="D81" s="154" t="s">
        <v>148</v>
      </c>
      <c r="E81" s="50">
        <f>E77+E78</f>
        <v>2</v>
      </c>
      <c r="F81" s="50">
        <f>SUM(F77:F80)</f>
        <v>2</v>
      </c>
      <c r="G81" s="50">
        <f>G77+G78+G80</f>
        <v>2</v>
      </c>
      <c r="H81" s="50">
        <f>H77+H78</f>
        <v>2</v>
      </c>
      <c r="I81" s="50"/>
    </row>
  </sheetData>
  <mergeCells count="2">
    <mergeCell ref="A10:B11"/>
    <mergeCell ref="E10:F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15D2C-3F58-44EC-AD85-C9B8FCE03753}">
  <sheetPr codeName="Sheet2"/>
  <dimension ref="A1:F27"/>
  <sheetViews>
    <sheetView workbookViewId="0">
      <selection activeCell="E30" sqref="E30"/>
    </sheetView>
  </sheetViews>
  <sheetFormatPr defaultRowHeight="15" x14ac:dyDescent="0.25"/>
  <cols>
    <col min="1" max="1" width="42.28515625" bestFit="1" customWidth="1"/>
    <col min="2" max="2" width="15.85546875" bestFit="1" customWidth="1"/>
  </cols>
  <sheetData>
    <row r="1" spans="1:6" ht="15" customHeight="1" x14ac:dyDescent="0.25">
      <c r="A1" s="102" t="s">
        <v>47</v>
      </c>
      <c r="B1" s="52"/>
      <c r="C1" s="52"/>
    </row>
    <row r="2" spans="1:6" ht="15" customHeight="1" x14ac:dyDescent="0.25">
      <c r="A2" s="102" t="s">
        <v>48</v>
      </c>
      <c r="B2" s="52"/>
      <c r="C2" s="52"/>
    </row>
    <row r="3" spans="1:6" ht="15" customHeight="1" x14ac:dyDescent="0.25">
      <c r="A3" s="102" t="s">
        <v>60</v>
      </c>
      <c r="B3" s="52" t="s">
        <v>56</v>
      </c>
      <c r="C3" s="52"/>
    </row>
    <row r="4" spans="1:6" ht="15" customHeight="1" x14ac:dyDescent="0.25">
      <c r="A4" s="102" t="s">
        <v>49</v>
      </c>
      <c r="B4" s="52"/>
      <c r="C4" s="52"/>
    </row>
    <row r="5" spans="1:6" ht="15" customHeight="1" x14ac:dyDescent="0.25">
      <c r="A5" s="102" t="s">
        <v>50</v>
      </c>
      <c r="B5" s="52"/>
      <c r="C5" s="52"/>
    </row>
    <row r="6" spans="1:6" ht="15" customHeight="1" x14ac:dyDescent="0.25">
      <c r="A6" s="102" t="s">
        <v>51</v>
      </c>
      <c r="B6" s="52"/>
      <c r="C6" s="287" t="s">
        <v>105</v>
      </c>
      <c r="D6" s="287"/>
      <c r="E6" s="120" t="s">
        <v>119</v>
      </c>
    </row>
    <row r="7" spans="1:6" ht="15" customHeight="1" x14ac:dyDescent="0.25">
      <c r="A7" s="119" t="s">
        <v>52</v>
      </c>
      <c r="B7" s="52"/>
      <c r="C7" s="122" t="str">
        <f>IF('MAIN - CL'!B$7="Lens.com","TRUE","FALSE")</f>
        <v>FALSE</v>
      </c>
      <c r="D7" s="122" t="str">
        <f>IF('MAIN - CL'!C$7="Lens.com","TRUE","FALSE")</f>
        <v>FALSE</v>
      </c>
      <c r="E7" s="123" t="str">
        <f>IF('MAIN - FRAMES'!B$8="Lens.com","TRUE","FALSE")</f>
        <v>FALSE</v>
      </c>
    </row>
    <row r="8" spans="1:6" ht="15" customHeight="1" x14ac:dyDescent="0.25">
      <c r="A8" s="119" t="s">
        <v>53</v>
      </c>
      <c r="B8" s="52"/>
      <c r="C8" s="122" t="str">
        <f>IF('MAIN - CL'!B$7="PScontacts.com","TRUE","FALSE")</f>
        <v>FALSE</v>
      </c>
      <c r="D8" s="122" t="str">
        <f>IF('MAIN - CL'!C$7="PScontacts.com","TRUE","FALSE")</f>
        <v>FALSE</v>
      </c>
      <c r="E8" s="123" t="str">
        <f>IF('MAIN - FRAMES'!B$8="PScontacts.com","TRUE","FALSE")</f>
        <v>FALSE</v>
      </c>
    </row>
    <row r="9" spans="1:6" ht="15" customHeight="1" x14ac:dyDescent="0.25">
      <c r="A9" s="102" t="s">
        <v>59</v>
      </c>
      <c r="B9" s="52" t="s">
        <v>56</v>
      </c>
      <c r="C9" s="121"/>
      <c r="D9" s="121"/>
      <c r="E9" s="120"/>
    </row>
    <row r="10" spans="1:6" ht="15" customHeight="1" x14ac:dyDescent="0.25">
      <c r="A10" s="102" t="s">
        <v>58</v>
      </c>
      <c r="B10" s="52" t="s">
        <v>56</v>
      </c>
      <c r="C10" s="121"/>
      <c r="D10" s="121"/>
      <c r="E10" s="120"/>
    </row>
    <row r="11" spans="1:6" ht="15" customHeight="1" x14ac:dyDescent="0.25">
      <c r="A11" s="102" t="s">
        <v>54</v>
      </c>
      <c r="B11" s="52"/>
      <c r="C11" s="121"/>
      <c r="D11" s="121"/>
      <c r="E11" s="120"/>
    </row>
    <row r="12" spans="1:6" ht="15" customHeight="1" x14ac:dyDescent="0.25">
      <c r="A12" s="102" t="s">
        <v>57</v>
      </c>
      <c r="B12" s="52" t="s">
        <v>56</v>
      </c>
      <c r="C12" s="121"/>
      <c r="D12" s="121"/>
      <c r="E12" s="120"/>
    </row>
    <row r="13" spans="1:6" ht="15" customHeight="1" x14ac:dyDescent="0.25">
      <c r="A13" s="102" t="s">
        <v>107</v>
      </c>
      <c r="B13" s="52" t="s">
        <v>56</v>
      </c>
      <c r="C13" s="121"/>
      <c r="D13" s="121"/>
      <c r="E13" s="120"/>
    </row>
    <row r="14" spans="1:6" ht="15" customHeight="1" x14ac:dyDescent="0.25">
      <c r="A14" s="102" t="s">
        <v>55</v>
      </c>
      <c r="B14" s="52"/>
      <c r="C14" s="121"/>
      <c r="D14" s="121"/>
      <c r="E14" s="120"/>
    </row>
    <row r="15" spans="1:6" ht="15" customHeight="1" x14ac:dyDescent="0.25">
      <c r="A15" s="119" t="s">
        <v>106</v>
      </c>
      <c r="B15" s="52"/>
      <c r="C15" s="122" t="str">
        <f>IF('MAIN - CL'!B$7="WebEyeCare.com","TRUE","FALSE")</f>
        <v>FALSE</v>
      </c>
      <c r="D15" s="122" t="str">
        <f>IF('MAIN - CL'!C$7="WebEyeCare.com","TRUE","FALSE")</f>
        <v>FALSE</v>
      </c>
      <c r="E15" s="123" t="str">
        <f>IF('MAIN - FRAMES'!B$8="WebEyeCare.com","TRUE","FALSE")</f>
        <v>FALSE</v>
      </c>
    </row>
    <row r="16" spans="1:6" ht="15" customHeight="1" x14ac:dyDescent="0.25">
      <c r="A16" s="52"/>
      <c r="B16" s="52"/>
      <c r="C16" s="52"/>
      <c r="D16" s="40"/>
      <c r="E16" s="40"/>
      <c r="F16" s="40"/>
    </row>
    <row r="17" spans="1:6" x14ac:dyDescent="0.25">
      <c r="A17" s="52"/>
      <c r="B17" s="52"/>
      <c r="C17" s="40"/>
      <c r="D17" s="40"/>
      <c r="E17" s="40"/>
      <c r="F17" s="40"/>
    </row>
    <row r="18" spans="1:6" x14ac:dyDescent="0.25">
      <c r="A18" s="52"/>
      <c r="B18" s="52"/>
      <c r="C18" s="52"/>
    </row>
    <row r="21" spans="1:6" x14ac:dyDescent="0.25">
      <c r="A21" s="53" t="s">
        <v>137</v>
      </c>
    </row>
    <row r="22" spans="1:6" x14ac:dyDescent="0.25">
      <c r="A22" t="s">
        <v>136</v>
      </c>
      <c r="B22" s="138">
        <v>8</v>
      </c>
      <c r="C22" s="138">
        <v>17</v>
      </c>
      <c r="D22" s="138"/>
    </row>
    <row r="23" spans="1:6" x14ac:dyDescent="0.25">
      <c r="B23" s="135"/>
      <c r="C23" s="135"/>
      <c r="D23" s="135"/>
    </row>
    <row r="24" spans="1:6" x14ac:dyDescent="0.25">
      <c r="A24" t="s">
        <v>135</v>
      </c>
      <c r="B24" s="136">
        <f ca="1">NOW()</f>
        <v>43823.391631597224</v>
      </c>
      <c r="C24" s="136">
        <f t="shared" ref="C24" ca="1" si="0">NOW()</f>
        <v>43823.391631597224</v>
      </c>
      <c r="D24" s="136"/>
    </row>
    <row r="25" spans="1:6" x14ac:dyDescent="0.25">
      <c r="B25" s="137">
        <f ca="1">HOUR(B24)</f>
        <v>9</v>
      </c>
      <c r="C25" s="137">
        <f ca="1">HOUR(C24)</f>
        <v>9</v>
      </c>
      <c r="D25" s="137"/>
    </row>
    <row r="26" spans="1:6" x14ac:dyDescent="0.25">
      <c r="A26">
        <f ca="1">COUNTIF(B26:C26,"T")</f>
        <v>0</v>
      </c>
      <c r="B26" s="134" t="str">
        <f ca="1">IF(B25&lt;B22,"T","F")</f>
        <v>F</v>
      </c>
      <c r="C26" s="134" t="str">
        <f ca="1">IF(C25&gt;C22,"T","F")</f>
        <v>F</v>
      </c>
      <c r="D26" s="134"/>
    </row>
    <row r="27" spans="1:6" x14ac:dyDescent="0.25">
      <c r="A27" t="b">
        <f ca="1">IF(A26=0,TRUE,FALSE)</f>
        <v>1</v>
      </c>
    </row>
  </sheetData>
  <mergeCells count="1">
    <mergeCell ref="C6:D6"/>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7D898EEBDB8DA44EBC4540CF9F87C0D8" ma:contentTypeVersion="96" ma:contentTypeDescription="Create a new document." ma:contentTypeScope="" ma:versionID="3468975a9f68f46a1b9a1dda3f59f0db">
  <xsd:schema xmlns:xsd="http://www.w3.org/2001/XMLSchema" xmlns:xs="http://www.w3.org/2001/XMLSchema" xmlns:p="http://schemas.microsoft.com/office/2006/metadata/properties" xmlns:ns2="52289035-f266-45d0-8afb-44f1664ca9dd" xmlns:ns3="371f85f6-e97c-4fb4-adbf-10d0bb5f5968" xmlns:ns4="3636139c-71c5-487a-b6dc-bb2ba6348ed5" targetNamespace="http://schemas.microsoft.com/office/2006/metadata/properties" ma:root="true" ma:fieldsID="8b3475d57a7c6ccf9f5f4b8b9d2c323d" ns2:_="" ns3:_="" ns4:_="">
    <xsd:import namespace="52289035-f266-45d0-8afb-44f1664ca9dd"/>
    <xsd:import namespace="371f85f6-e97c-4fb4-adbf-10d0bb5f5968"/>
    <xsd:import namespace="3636139c-71c5-487a-b6dc-bb2ba6348ed5"/>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SharedWithDetails" minOccurs="0"/>
                <xsd:element ref="ns4:MediaServiceMetadata" minOccurs="0"/>
                <xsd:element ref="ns4:MediaServiceFastMetadata" minOccurs="0"/>
                <xsd:element ref="ns4:MediaServiceEventHashCode" minOccurs="0"/>
                <xsd:element ref="ns4:MediaServiceGenerationTim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289035-f266-45d0-8afb-44f1664ca9d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71f85f6-e97c-4fb4-adbf-10d0bb5f5968" elementFormDefault="qualified">
    <xsd:import namespace="http://schemas.microsoft.com/office/2006/documentManagement/types"/>
    <xsd:import namespace="http://schemas.microsoft.com/office/infopath/2007/PartnerControls"/>
    <xsd:element name="SharedWithDetails" ma:index="12"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36139c-71c5-487a-b6dc-bb2ba6348ed5"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52289035-f266-45d0-8afb-44f1664ca9dd">CUSTCARE-277-6960</_dlc_DocId>
    <_dlc_DocIdUrl xmlns="52289035-f266-45d0-8afb-44f1664ca9dd">
      <Url>https://visionserviceplan.sharepoint.com/teams/CustomerCare/cs/USC/_layouts/15/DocIdRedir.aspx?ID=CUSTCARE-277-6960</Url>
      <Description>CUSTCARE-277-6960</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94B116-F33C-4C3C-889E-C0DC0202A712}">
  <ds:schemaRefs>
    <ds:schemaRef ds:uri="http://schemas.microsoft.com/sharepoint/events"/>
  </ds:schemaRefs>
</ds:datastoreItem>
</file>

<file path=customXml/itemProps2.xml><?xml version="1.0" encoding="utf-8"?>
<ds:datastoreItem xmlns:ds="http://schemas.openxmlformats.org/officeDocument/2006/customXml" ds:itemID="{4B8A5A5E-D1B0-45D6-ACB9-F9473AB88F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289035-f266-45d0-8afb-44f1664ca9dd"/>
    <ds:schemaRef ds:uri="371f85f6-e97c-4fb4-adbf-10d0bb5f5968"/>
    <ds:schemaRef ds:uri="3636139c-71c5-487a-b6dc-bb2ba6348e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58AC4BE-939C-4587-A467-54AB2AC5A967}">
  <ds:schemaRefs>
    <ds:schemaRef ds:uri="371f85f6-e97c-4fb4-adbf-10d0bb5f5968"/>
    <ds:schemaRef ds:uri="52289035-f266-45d0-8afb-44f1664ca9dd"/>
    <ds:schemaRef ds:uri="http://purl.org/dc/dcmitype/"/>
    <ds:schemaRef ds:uri="http://www.w3.org/XML/1998/namespace"/>
    <ds:schemaRef ds:uri="http://purl.org/dc/elements/1.1/"/>
    <ds:schemaRef ds:uri="http://schemas.microsoft.com/office/2006/documentManagement/types"/>
    <ds:schemaRef ds:uri="http://purl.org/dc/terms/"/>
    <ds:schemaRef ds:uri="3636139c-71c5-487a-b6dc-bb2ba6348ed5"/>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4AD762D7-6C8C-4DE8-9537-FA13CB212D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CONTACTS</vt:lpstr>
      <vt:lpstr>MAIN - CL</vt:lpstr>
      <vt:lpstr>FRAMES</vt:lpstr>
      <vt:lpstr>MAIN - FRAMES</vt:lpstr>
      <vt:lpstr>.</vt:lpstr>
      <vt:lpstr>SAVE DATA</vt:lpstr>
      <vt:lpstr>Competitors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Eyeconic Price Match Tool</dc:title>
  <dc:subject>Price Match</dc:subject>
  <dc:creator>Nathan.Arcuri@vsp.com</dc:creator>
  <cp:lastModifiedBy>Nathan Arcuri</cp:lastModifiedBy>
  <cp:lastPrinted>2019-08-01T19:22:10Z</cp:lastPrinted>
  <dcterms:created xsi:type="dcterms:W3CDTF">2019-07-10T17:39:27Z</dcterms:created>
  <dcterms:modified xsi:type="dcterms:W3CDTF">2019-12-24T17:24:19Z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0x0101007D898EEBDB8DA44EBC4540CF9F87C0D8</vt:lpwstr>
  </property>
  <property fmtid="{D5CDD505-2E9C-101B-9397-08002B2CF9AE}" pid="3" name="_dlc_DocIdItemGuid">
    <vt:lpwstr>aa0394a5-4dc1-46bd-87dc-6e787793bf74</vt:lpwstr>
  </property>
</Properties>
</file>